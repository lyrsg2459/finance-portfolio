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yrsg\Downloads\"/>
    </mc:Choice>
  </mc:AlternateContent>
  <xr:revisionPtr revIDLastSave="0" documentId="13_ncr:1_{5C3A2ED7-7069-4E3A-9149-866D76FE034F}" xr6:coauthVersionLast="47" xr6:coauthVersionMax="47" xr10:uidLastSave="{00000000-0000-0000-0000-000000000000}"/>
  <bookViews>
    <workbookView xWindow="7464" yWindow="756" windowWidth="23256" windowHeight="15804" tabRatio="687" xr2:uid="{00000000-000D-0000-FFFF-FFFF00000000}"/>
  </bookViews>
  <sheets>
    <sheet name="Information" sheetId="2" r:id="rId1"/>
    <sheet name="Projections" sheetId="9" r:id="rId2"/>
    <sheet name="FCF" sheetId="3" r:id="rId3"/>
    <sheet name="WACC" sheetId="4" r:id="rId4"/>
    <sheet name="DCF Valu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F7" i="5"/>
  <c r="E7" i="5"/>
  <c r="D7" i="5"/>
  <c r="C7" i="5"/>
  <c r="C18" i="5"/>
  <c r="C20" i="5" l="1"/>
  <c r="C53" i="4"/>
  <c r="D6" i="5" l="1"/>
  <c r="E35" i="4"/>
  <c r="F25" i="4"/>
  <c r="F24" i="4"/>
  <c r="F23" i="4"/>
  <c r="F22" i="4"/>
  <c r="D26" i="4"/>
  <c r="F26" i="4" s="1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E8" i="4"/>
  <c r="D35" i="3"/>
  <c r="E35" i="3"/>
  <c r="F35" i="3" s="1"/>
  <c r="C36" i="3" s="1"/>
  <c r="D36" i="3" s="1"/>
  <c r="D11" i="3"/>
  <c r="C11" i="3"/>
  <c r="C10" i="3"/>
  <c r="C7" i="3"/>
  <c r="E17" i="3"/>
  <c r="E19" i="3" s="1"/>
  <c r="C8" i="3" s="1"/>
  <c r="D17" i="3"/>
  <c r="D19" i="3" s="1"/>
  <c r="C17" i="3"/>
  <c r="C19" i="3" s="1"/>
  <c r="E57" i="3"/>
  <c r="E9" i="4" l="1"/>
  <c r="E51" i="4" s="1"/>
  <c r="C47" i="4"/>
  <c r="D52" i="4" s="1"/>
  <c r="F35" i="4"/>
  <c r="C37" i="4" s="1"/>
  <c r="C39" i="4" s="1"/>
  <c r="C52" i="4" s="1"/>
  <c r="C18" i="4"/>
  <c r="E52" i="4" s="1"/>
  <c r="C9" i="4"/>
  <c r="C51" i="4" s="1"/>
  <c r="D9" i="4"/>
  <c r="D51" i="4" s="1"/>
  <c r="F26" i="3"/>
  <c r="G26" i="3"/>
  <c r="E27" i="3" l="1"/>
  <c r="E28" i="3" s="1"/>
  <c r="D27" i="3"/>
  <c r="D28" i="3" s="1"/>
  <c r="C27" i="3"/>
  <c r="C28" i="3" s="1"/>
  <c r="E48" i="3"/>
  <c r="E49" i="3" s="1"/>
  <c r="D48" i="3"/>
  <c r="D49" i="3" s="1"/>
  <c r="C48" i="3"/>
  <c r="C49" i="3" s="1"/>
  <c r="E56" i="3"/>
  <c r="E58" i="3" s="1"/>
  <c r="D56" i="3"/>
  <c r="C56" i="3"/>
  <c r="C57" i="3"/>
  <c r="D57" i="3"/>
  <c r="C6" i="3"/>
  <c r="C58" i="3" l="1"/>
  <c r="E59" i="3" s="1"/>
  <c r="J58" i="3" s="1"/>
  <c r="D61" i="3"/>
  <c r="E61" i="3"/>
  <c r="C12" i="3" s="1"/>
  <c r="D58" i="3"/>
  <c r="D10" i="3" l="1"/>
  <c r="I58" i="3"/>
  <c r="H58" i="3"/>
  <c r="G58" i="3"/>
  <c r="F58" i="3"/>
  <c r="E10" i="3" l="1"/>
  <c r="G12" i="9" l="1"/>
  <c r="H12" i="9" s="1"/>
  <c r="I12" i="9" s="1"/>
  <c r="J12" i="9" s="1"/>
  <c r="K12" i="9" s="1"/>
  <c r="G11" i="9"/>
  <c r="H11" i="9" s="1"/>
  <c r="I11" i="9" s="1"/>
  <c r="J11" i="9" s="1"/>
  <c r="K11" i="9" s="1"/>
  <c r="G6" i="9"/>
  <c r="F21" i="9"/>
  <c r="F20" i="9"/>
  <c r="F19" i="9"/>
  <c r="F18" i="9"/>
  <c r="F17" i="9"/>
  <c r="F13" i="9"/>
  <c r="E17" i="9"/>
  <c r="D17" i="9"/>
  <c r="E20" i="9"/>
  <c r="D20" i="9"/>
  <c r="E21" i="9"/>
  <c r="D21" i="9"/>
  <c r="D19" i="9"/>
  <c r="E19" i="9"/>
  <c r="C19" i="9"/>
  <c r="D18" i="9"/>
  <c r="E18" i="9"/>
  <c r="C18" i="9"/>
  <c r="C13" i="9"/>
  <c r="D13" i="9"/>
  <c r="E13" i="9"/>
  <c r="D8" i="9"/>
  <c r="E8" i="9"/>
  <c r="C8" i="9"/>
  <c r="F48" i="3" l="1"/>
  <c r="F49" i="3" s="1"/>
  <c r="D6" i="3"/>
  <c r="F56" i="3"/>
  <c r="F60" i="3" s="1"/>
  <c r="F61" i="3" s="1"/>
  <c r="D12" i="3" s="1"/>
  <c r="F27" i="3"/>
  <c r="F28" i="3" s="1"/>
  <c r="G10" i="9"/>
  <c r="H6" i="9"/>
  <c r="G7" i="9"/>
  <c r="G8" i="9" s="1"/>
  <c r="D14" i="9"/>
  <c r="C14" i="9"/>
  <c r="E14" i="9"/>
  <c r="F8" i="9"/>
  <c r="F14" i="9" s="1"/>
  <c r="G48" i="3" l="1"/>
  <c r="G47" i="3" s="1"/>
  <c r="G27" i="3"/>
  <c r="G28" i="3" s="1"/>
  <c r="E6" i="3"/>
  <c r="G56" i="3"/>
  <c r="G60" i="3" s="1"/>
  <c r="G61" i="3" s="1"/>
  <c r="E12" i="3" s="1"/>
  <c r="H7" i="9"/>
  <c r="H10" i="9"/>
  <c r="I6" i="9"/>
  <c r="H8" i="9"/>
  <c r="H48" i="3" l="1"/>
  <c r="H47" i="3" s="1"/>
  <c r="H27" i="3"/>
  <c r="H56" i="3"/>
  <c r="H60" i="3" s="1"/>
  <c r="F6" i="3"/>
  <c r="I7" i="9"/>
  <c r="J6" i="9"/>
  <c r="I10" i="9"/>
  <c r="I8" i="9"/>
  <c r="E36" i="3"/>
  <c r="F36" i="3" s="1"/>
  <c r="C37" i="3" s="1"/>
  <c r="E11" i="3"/>
  <c r="G13" i="9"/>
  <c r="G14" i="9" s="1"/>
  <c r="F17" i="3" l="1"/>
  <c r="F19" i="3" s="1"/>
  <c r="D8" i="3" s="1"/>
  <c r="D7" i="3"/>
  <c r="D37" i="3"/>
  <c r="H26" i="3" s="1"/>
  <c r="F37" i="3"/>
  <c r="C38" i="3" s="1"/>
  <c r="I27" i="3"/>
  <c r="G6" i="3"/>
  <c r="I56" i="3"/>
  <c r="I60" i="3" s="1"/>
  <c r="I61" i="3" s="1"/>
  <c r="G12" i="3" s="1"/>
  <c r="I48" i="3"/>
  <c r="I47" i="3" s="1"/>
  <c r="J7" i="9"/>
  <c r="K6" i="9"/>
  <c r="J10" i="9"/>
  <c r="J8" i="9"/>
  <c r="H61" i="3"/>
  <c r="F12" i="3" s="1"/>
  <c r="E37" i="3"/>
  <c r="F11" i="3"/>
  <c r="H13" i="9"/>
  <c r="H14" i="9" s="1"/>
  <c r="H6" i="3" l="1"/>
  <c r="J48" i="3"/>
  <c r="J47" i="3" s="1"/>
  <c r="J27" i="3"/>
  <c r="J56" i="3"/>
  <c r="J60" i="3" s="1"/>
  <c r="J61" i="3" s="1"/>
  <c r="H12" i="3" s="1"/>
  <c r="K7" i="9"/>
  <c r="K10" i="9"/>
  <c r="K13" i="9" s="1"/>
  <c r="K14" i="9" s="1"/>
  <c r="K8" i="9"/>
  <c r="E38" i="3"/>
  <c r="G11" i="3"/>
  <c r="G17" i="3"/>
  <c r="G19" i="3" s="1"/>
  <c r="E8" i="3" s="1"/>
  <c r="E7" i="3"/>
  <c r="D38" i="3"/>
  <c r="I26" i="3" s="1"/>
  <c r="H28" i="3"/>
  <c r="F10" i="3"/>
  <c r="I13" i="9"/>
  <c r="I14" i="9" s="1"/>
  <c r="C9" i="3"/>
  <c r="H7" i="3" l="1"/>
  <c r="J17" i="3"/>
  <c r="J19" i="3" s="1"/>
  <c r="H8" i="3" s="1"/>
  <c r="I28" i="3"/>
  <c r="G10" i="3"/>
  <c r="H17" i="3"/>
  <c r="H19" i="3" s="1"/>
  <c r="F8" i="3" s="1"/>
  <c r="F7" i="3"/>
  <c r="E39" i="3"/>
  <c r="H11" i="3"/>
  <c r="F38" i="3"/>
  <c r="C39" i="3" s="1"/>
  <c r="C13" i="3"/>
  <c r="J13" i="9"/>
  <c r="J14" i="9" s="1"/>
  <c r="D9" i="3"/>
  <c r="D13" i="3" s="1"/>
  <c r="C6" i="5" s="1"/>
  <c r="I17" i="3" l="1"/>
  <c r="I19" i="3" s="1"/>
  <c r="G8" i="3" s="1"/>
  <c r="G7" i="3"/>
  <c r="D39" i="3"/>
  <c r="J26" i="3" s="1"/>
  <c r="F39" i="3"/>
  <c r="C8" i="5"/>
  <c r="E9" i="3"/>
  <c r="E13" i="3" s="1"/>
  <c r="J28" i="3" l="1"/>
  <c r="H10" i="3"/>
  <c r="D8" i="5"/>
  <c r="F9" i="3"/>
  <c r="F13" i="3" s="1"/>
  <c r="E6" i="5" s="1"/>
  <c r="E8" i="5" s="1"/>
  <c r="G9" i="3" l="1"/>
  <c r="G13" i="3" s="1"/>
  <c r="F6" i="5" s="1"/>
  <c r="F8" i="5" s="1"/>
  <c r="H9" i="3" l="1"/>
  <c r="H13" i="3" l="1"/>
  <c r="G6" i="5" s="1"/>
  <c r="C11" i="5" s="1"/>
  <c r="C14" i="5" s="1"/>
  <c r="C15" i="5" l="1"/>
  <c r="G8" i="5"/>
  <c r="C17" i="5" l="1"/>
  <c r="C19" i="5" s="1"/>
  <c r="C21" i="5" s="1"/>
  <c r="B25" i="5" s="1"/>
</calcChain>
</file>

<file path=xl/sharedStrings.xml><?xml version="1.0" encoding="utf-8"?>
<sst xmlns="http://schemas.openxmlformats.org/spreadsheetml/2006/main" count="272" uniqueCount="180">
  <si>
    <t>COMPANY INFO</t>
  </si>
  <si>
    <t>Company Name</t>
  </si>
  <si>
    <t>Ticker</t>
  </si>
  <si>
    <t>Fiscal Year (Year 0, most recent actual)</t>
  </si>
  <si>
    <t>Shares Outstanding (mm)</t>
  </si>
  <si>
    <t>Current 10-year US Treasury yield</t>
  </si>
  <si>
    <t>($mm)</t>
  </si>
  <si>
    <t>Revenue</t>
  </si>
  <si>
    <t>Less: Taxes</t>
  </si>
  <si>
    <t>NOPAT</t>
  </si>
  <si>
    <t>Unlevered Free Cash Flow</t>
  </si>
  <si>
    <t>WACC (WEIGHTED AVERAGE COST OF CAPITAL)</t>
  </si>
  <si>
    <t>Pre-Tax Cost of Debt</t>
  </si>
  <si>
    <t>Tax Rate</t>
  </si>
  <si>
    <t>After-Tax Cost of Debt</t>
  </si>
  <si>
    <t>CAPITAL STRUCTURE</t>
  </si>
  <si>
    <t>DCF VALUATION</t>
  </si>
  <si>
    <t>Unlevered FCF</t>
  </si>
  <si>
    <t>Discount Factor</t>
  </si>
  <si>
    <t>PV of FCF</t>
  </si>
  <si>
    <t>TERMINAL VALUE (Gordon Growth Method)</t>
  </si>
  <si>
    <t>Final Year FCF</t>
  </si>
  <si>
    <t>Terminal Growth Rate</t>
  </si>
  <si>
    <t>Terminal Value (at end of Year 5)</t>
  </si>
  <si>
    <t>PV of Terminal Value</t>
  </si>
  <si>
    <t>ENTERPRISE VALUE</t>
  </si>
  <si>
    <t>Less: Net Debt</t>
  </si>
  <si>
    <t>EQUITY VALUE</t>
  </si>
  <si>
    <t>IMPLIED SHARE PRICE</t>
  </si>
  <si>
    <t>WACC \ Terminal Growth</t>
  </si>
  <si>
    <t>MSFT</t>
  </si>
  <si>
    <t>Microsoft Corporation</t>
  </si>
  <si>
    <t>Operating profit</t>
  </si>
  <si>
    <t>Actual</t>
  </si>
  <si>
    <t>Forecast</t>
  </si>
  <si>
    <t>Gross Margin</t>
  </si>
  <si>
    <t>Research and Development</t>
  </si>
  <si>
    <t xml:space="preserve">Less: </t>
  </si>
  <si>
    <t>Less: Cost of revenue</t>
  </si>
  <si>
    <t>Sales and Marketing</t>
  </si>
  <si>
    <t>General and Administrative</t>
  </si>
  <si>
    <t>Total Expenses</t>
  </si>
  <si>
    <t>N/A</t>
  </si>
  <si>
    <t>FY23</t>
  </si>
  <si>
    <t>FY24</t>
  </si>
  <si>
    <t>FY25</t>
  </si>
  <si>
    <t>FY26</t>
  </si>
  <si>
    <t>FY27</t>
  </si>
  <si>
    <t>FY28</t>
  </si>
  <si>
    <t>FY29</t>
  </si>
  <si>
    <t>FY30</t>
  </si>
  <si>
    <t>ITEM</t>
  </si>
  <si>
    <t>ASSUMPTIONS</t>
  </si>
  <si>
    <t>General and Administrative
(Dollar Growth Rate%, ↓ Trend)</t>
  </si>
  <si>
    <t>Sales and Marketing
(Dollar Growth Rate%, ↓Trend)</t>
  </si>
  <si>
    <t>Research and Development
(% of Revenue, ↓Trend)</t>
  </si>
  <si>
    <t>Cost of Revenue 
(% of Revenue, ↑Trend)</t>
  </si>
  <si>
    <t>FY31</t>
  </si>
  <si>
    <t>Revenue
(Dollar Growth Rate%, ↑ in 2027 but ↓ trend FY28 onwards)</t>
  </si>
  <si>
    <t>Revenue (Actual / Projected)</t>
  </si>
  <si>
    <t>Actual Net working capital (NWC)</t>
  </si>
  <si>
    <t>NWC / Revenue %</t>
  </si>
  <si>
    <t>Average of NWC / Revenue %</t>
  </si>
  <si>
    <t>Projected NWC</t>
  </si>
  <si>
    <t>Depreciation &amp; amortisation expense / Revenue %</t>
  </si>
  <si>
    <t>REVENUE AND 5 - YEAR PROJECTION</t>
  </si>
  <si>
    <t xml:space="preserve">- Company guidance, Microsoft reports 
  revenue increased 18% to 90b in Q1 
  FY27.
- FY28 onwards: Blended growth rate 
  likely to decrease; Azure growth arises 
  from limited supply, hence growth 
  should normalise when capacity 
  constraints ease.
</t>
  </si>
  <si>
    <t xml:space="preserve">- Microsoft Cloud gross margin 
  decreased: FY26 Q3 Earnings 
- Gross margin% decrease driven by 
  investments in AI infrastructure.
</t>
  </si>
  <si>
    <t xml:space="preserve">- Revenue outgrows R&amp;D expense.
- R&amp;D will still increase due to Azure.
- Floors at ~9% to 9.5% of Revenue.
</t>
  </si>
  <si>
    <r>
      <t xml:space="preserve">- Not proportionate to Revenue.
- Scales and grows with inflation:
   - FY27 - FY28: IMF CPI inflation 3.2%
    </t>
    </r>
    <r>
      <rPr>
        <sz val="11"/>
        <rFont val="Arial"/>
        <family val="2"/>
      </rPr>
      <t xml:space="preserve"> CPI used for near-term as it reflects 
     immediate shifts in price.
</t>
    </r>
    <r>
      <rPr>
        <b/>
        <sz val="11"/>
        <rFont val="Arial"/>
        <family val="2"/>
      </rPr>
      <t xml:space="preserve">   - FY29 - FY31: PCE inflation 2.22%
    </t>
    </r>
    <r>
      <rPr>
        <sz val="11"/>
        <rFont val="Arial"/>
        <family val="2"/>
      </rPr>
      <t xml:space="preserve"> PCE used for long-term as it aligns 
     with Federal Reserve's targets.
</t>
    </r>
    <r>
      <rPr>
        <b/>
        <sz val="11"/>
        <rFont val="Arial"/>
        <family val="2"/>
      </rPr>
      <t xml:space="preserve">- Added premium for wage growth, 
  new product pushes, etc.
</t>
    </r>
  </si>
  <si>
    <r>
      <t xml:space="preserve">- Not proportionate to Revenue.
- FY23-26 growth were dominated by 
  one-off items:
</t>
    </r>
    <r>
      <rPr>
        <sz val="11"/>
        <rFont val="Arial"/>
        <family val="2"/>
      </rPr>
      <t xml:space="preserve">  1. Employee severance in FY23.
  2. Acquisition of Activision Blizzard offset 
      in FY24 and rolled over in FY25.
  3. Higher legal fees and gains on divestures 
      from prior period impacted FY26.</t>
    </r>
    <r>
      <rPr>
        <b/>
        <sz val="11"/>
        <rFont val="Arial"/>
        <family val="2"/>
      </rPr>
      <t xml:space="preserve">
- Forecast uses inflation-linked growth 
  instead as a cleaner baseline:
   - FY27 - FY28: IMF CPI inflation 3.2%
</t>
    </r>
    <r>
      <rPr>
        <sz val="11"/>
        <rFont val="Arial"/>
        <family val="2"/>
      </rPr>
      <t xml:space="preserve">     CPI used for near-term as it reflects 
     immediate shifts in price.
</t>
    </r>
    <r>
      <rPr>
        <b/>
        <sz val="11"/>
        <rFont val="Arial"/>
        <family val="2"/>
      </rPr>
      <t xml:space="preserve">   - FY29 - FY31: PCE inflation 2.22%
</t>
    </r>
    <r>
      <rPr>
        <sz val="11"/>
        <rFont val="Arial"/>
        <family val="2"/>
      </rPr>
      <t xml:space="preserve">     PCE used for long-term as it aligns 
     with Federal Reserve's targets.
</t>
    </r>
  </si>
  <si>
    <t>Operating Profit</t>
  </si>
  <si>
    <t>Change in NWC (Actual / Projected)</t>
  </si>
  <si>
    <t>Add: Depreciation and Amortisation</t>
  </si>
  <si>
    <t>Less: Capital Expenditure</t>
  </si>
  <si>
    <t>Less / Add: Increase / Decrease in NWC</t>
  </si>
  <si>
    <t>Taxes (Operating Profit * effective tax rate)</t>
  </si>
  <si>
    <t>Trend reverses in FY26 due to mix shift: U.S. income as % of total income increased from 56.0% in FY25 to 62.4% in FY26.
Projected rate from FY27-31 will mildly incline towards U.S. federal statutory rate of 21% as more income is taxed in the U.S.
(Computed taxes amount will not tie to reported taxes in FY26 10-K, as GAAP tax provision includes non-operating income)</t>
  </si>
  <si>
    <t>Capital expenditure / Revenue %</t>
  </si>
  <si>
    <t>Opening PPE</t>
  </si>
  <si>
    <t>CapEx</t>
  </si>
  <si>
    <t>Closing PPE</t>
  </si>
  <si>
    <t>Operating Profit (Actual / Projected)</t>
  </si>
  <si>
    <t>Depreciation &amp; amortisation expense (Actual / Projected)</t>
  </si>
  <si>
    <t>Capital expenditure (Actual / Projected)</t>
  </si>
  <si>
    <t>Effective Tax Rate (Actual / Projected)</t>
  </si>
  <si>
    <t>Capex guidance per Microsoft: $175 billion for FY27. Subsequent years' growth expected to normalise once Azure/cloud capacity constrainst start easing.
Hence FY27's growth rate from FY26 is inflated and not expected to continue (still increase but less magnitude)
For FY28-31, capex rate as % of Revenue declines from FY27's rate, but not below 34.9% (increasing trend from FY24-26)</t>
  </si>
  <si>
    <t>D&amp;A @5.98yrs</t>
  </si>
  <si>
    <t>FY26 10-K: servers and network equipment estimated useful life = two to six years. Capex taken from assumptions below.
Useful life assumed at $204,966 (FY26 Opening PPE) / $34,300 (FY26 D&amp;A) = 5.98 years (2.d.p), falls within 2 - 6 years.
Opening PPE for FY27 taken from closing FY26 10-K. D&amp;A for projected year = Opening PPE / 5.98 years.</t>
  </si>
  <si>
    <t>LEGEND</t>
  </si>
  <si>
    <t xml:space="preserve">Projected Value </t>
  </si>
  <si>
    <t>Projected Value (Hardcoded)</t>
  </si>
  <si>
    <t xml:space="preserve">XXX </t>
  </si>
  <si>
    <t>Increasing AI infrastructure investment and higher FY27 capex per company guidance suggests D&amp;A will continue to rise in FY27.
Trend mechanically follows capex since newly capitalised assets start depreciating going forward while compounding through future years.
 Refer to PPE rollforward for D&amp;A calculations.</t>
  </si>
  <si>
    <t>FY26 included a one-off $19.6b increase in supplier prepayments for server components; removed from calc of NWC in FY26.
NWC for FY27-31 will be projected using the historical average of NWC as a percentage of revenue.</t>
  </si>
  <si>
    <t>Items</t>
  </si>
  <si>
    <t>Long-Term Debt</t>
  </si>
  <si>
    <t>Financial Leases</t>
  </si>
  <si>
    <t>Ordinary Shares</t>
  </si>
  <si>
    <t>Weights</t>
  </si>
  <si>
    <t>Rf, Risk-Free Rate (10yr Treasury, %)</t>
  </si>
  <si>
    <t>5yr monthly beta, Yahoo Finance</t>
  </si>
  <si>
    <t>Historical Value (from specific year's 10-K)</t>
  </si>
  <si>
    <t>Value taken from 3rd party source</t>
  </si>
  <si>
    <t>Taken from Yahoo Finance</t>
  </si>
  <si>
    <t>Market Value (MV) of Capital Source (mm)</t>
  </si>
  <si>
    <t>Operating lease liabilities excluded from calculation as they are not part of capital financing.
MV of long-term debt taken as fair value and not accounting value of $40b</t>
  </si>
  <si>
    <t>TAXES AMOUNT AND % ASSUMPTIONS</t>
  </si>
  <si>
    <t>DEPRECIATION &amp; AMORTISATION AMOUNT AND % ASSUMPTIONS</t>
  </si>
  <si>
    <t>CHANGE IN NET WORKING CAPITAL AND % ASSUMPTIONS</t>
  </si>
  <si>
    <t>CAPITAL EXPENDITURE AMOUNT AND % ASSUMPTIONS</t>
  </si>
  <si>
    <t>PPE ROLLFORWARD (TYING D&amp;A TO CAPEX) AND ASSUMPTIONS</t>
  </si>
  <si>
    <t>(Rm - Rf), Equity Risk Premium (%)</t>
  </si>
  <si>
    <t>β, Beta</t>
  </si>
  <si>
    <t>Cost of Equity, Re = Rf + β(Rm - Rf)</t>
  </si>
  <si>
    <t>COST OF EQUITY (CAPM METHOD)</t>
  </si>
  <si>
    <t>COST OF DEBT (LONG-TERM DEBT)</t>
  </si>
  <si>
    <t>COST OF DEBT (FINANCIAL LEASES)</t>
  </si>
  <si>
    <t>Issuance</t>
  </si>
  <si>
    <t>Effective Interest Rate</t>
  </si>
  <si>
    <t>2009 issuance of $3.8 billion</t>
  </si>
  <si>
    <t>2010 issuance of $4.8 billion</t>
  </si>
  <si>
    <t>2011 issuance of $2.3 billion</t>
  </si>
  <si>
    <t>2012 issuance of $2.3 billion</t>
  </si>
  <si>
    <t>2013 issuance of $5.2 billion</t>
  </si>
  <si>
    <t>3.83%–4.92%</t>
  </si>
  <si>
    <t>2013 issuance of €4.1 billion</t>
  </si>
  <si>
    <t>2.69%–3.22%</t>
  </si>
  <si>
    <t>2015 issuance of $23.8 billion</t>
  </si>
  <si>
    <t>3.60%–4.78%</t>
  </si>
  <si>
    <t>2016 issuance of $19.8 billion</t>
  </si>
  <si>
    <t>2.46%–4.03%</t>
  </si>
  <si>
    <t>2017 issuance of $17.1 billion</t>
  </si>
  <si>
    <t>3.38%–5.49%</t>
  </si>
  <si>
    <t>2020 issuance of $10.1 billion</t>
  </si>
  <si>
    <t>2.53%–5.43%</t>
  </si>
  <si>
    <t>2021 issuance of $8.2 billion</t>
  </si>
  <si>
    <t>2.92%–3.04%</t>
  </si>
  <si>
    <t>2023 issuance of $0.1 billion</t>
  </si>
  <si>
    <t>5.16%–5.49%</t>
  </si>
  <si>
    <t>2024 issuance of $3.3 billion</t>
  </si>
  <si>
    <t>Effective interest rates for 2013 to 2024 issuances were given as a range of rates; Midpoint of the range of interest rates were used in the calculation of interest on debt.</t>
  </si>
  <si>
    <t>Total</t>
  </si>
  <si>
    <t>Effective Interest Rate (Midpoint)</t>
  </si>
  <si>
    <t>Interest Expense on Debt (mm)</t>
  </si>
  <si>
    <t>Cost of Debt, Rd (Blended, %)</t>
  </si>
  <si>
    <t>After-Tax Cost of Debt, AT Rd = Rd * (1 - Tax Rate)</t>
  </si>
  <si>
    <t>Given in Note 13 of FY26 10-K</t>
  </si>
  <si>
    <t>WACC CALCULATION</t>
  </si>
  <si>
    <t>Item</t>
  </si>
  <si>
    <t>Cost (Rd, Re)</t>
  </si>
  <si>
    <t>Weight (Wd, We)</t>
  </si>
  <si>
    <t>WACC = (We x Re) + (Wd x After-Tax Rd)</t>
  </si>
  <si>
    <t>Aswath Damodaran's July 2026 List of Equity Risk Premiums, by country</t>
  </si>
  <si>
    <t>Debt as at June 30 2026 (face value, mm)</t>
  </si>
  <si>
    <t>U.S. federal statutory rate; tax savings should be calculated at the marginal rate</t>
  </si>
  <si>
    <t>Linked from 'FCF Build'</t>
  </si>
  <si>
    <t>Total PV of FCF + PV of Terminal Value</t>
  </si>
  <si>
    <t>Linked from 'WACC'</t>
  </si>
  <si>
    <t>Number of Shares (As at June 30 2026)</t>
  </si>
  <si>
    <t>Taken from Balance Sheet</t>
  </si>
  <si>
    <t>FY2026, ended June 30</t>
  </si>
  <si>
    <t>Share Price as at June 30 2026 (Close)</t>
  </si>
  <si>
    <t>Nominal GDP Growth = Real GDP Growth + PCE Inflation</t>
  </si>
  <si>
    <t>WACC</t>
  </si>
  <si>
    <t>FREE CASH FLOW</t>
  </si>
  <si>
    <t>SENSITIVITY ON IMPLIED SHARE PRICE</t>
  </si>
  <si>
    <t>INFORMATION</t>
  </si>
  <si>
    <t>Net Debt = MV of Debt in 'WACC' + MV of Finance Leases in 'WACC'  - Cash &amp; Cash Equivalents (10-K Balance sheet)</t>
  </si>
  <si>
    <t>Finance Leases</t>
  </si>
  <si>
    <t>June 30, 2026</t>
  </si>
  <si>
    <t>NOTES</t>
  </si>
  <si>
    <t xml:space="preserve">Valuation Date </t>
  </si>
  <si>
    <t>Date of Model Preparation</t>
  </si>
  <si>
    <t>August 3, 2026</t>
  </si>
  <si>
    <t>All inputs reflect the most recently available information as of model preparation, August 2026.</t>
  </si>
  <si>
    <t>Valuation date set as fiscal year end to align with cash flow periods and discounting periods</t>
  </si>
  <si>
    <t>Standard discounting, 1/(1+WACC)^1, assumes each year's FCF arrives on the last day of the year.</t>
  </si>
  <si>
    <t>Mid year convention, 1/(1+WACC)^(0.5), is applied to approximate the PV at the midpoint of the year</t>
  </si>
  <si>
    <t>This model was prepared by Lee Yi Rui.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</si>
</sst>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0.0%"/>
    <numFmt numFmtId="166" formatCode="0.000"/>
    <numFmt numFmtId="167" formatCode="\$#,##0.00"/>
    <numFmt numFmtId="168" formatCode="&quot;$&quot;#,##0.00"/>
  </numFmts>
  <fonts count="1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1"/>
      <color rgb="FF008000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8"/>
      <name val="Calibri"/>
      <family val="2"/>
      <charset val="1"/>
    </font>
    <font>
      <b/>
      <sz val="11"/>
      <color rgb="FF000000"/>
      <name val="Arial"/>
      <family val="2"/>
    </font>
    <font>
      <u/>
      <sz val="11"/>
      <color theme="10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i/>
      <sz val="9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FFFF00"/>
      </patternFill>
    </fill>
  </fills>
  <borders count="3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7B7B7"/>
      </right>
      <top style="thin">
        <color rgb="FFB7B7B7"/>
      </top>
      <bottom/>
      <diagonal/>
    </border>
    <border>
      <left/>
      <right style="thin">
        <color indexed="64"/>
      </right>
      <top style="thin">
        <color rgb="FFB7B7B7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5" fillId="0" borderId="0" xfId="0" applyFont="1"/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164" fontId="2" fillId="0" borderId="0" xfId="0" applyNumberFormat="1" applyFont="1"/>
    <xf numFmtId="164" fontId="3" fillId="0" borderId="0" xfId="0" applyNumberFormat="1" applyFont="1"/>
    <xf numFmtId="164" fontId="3" fillId="2" borderId="0" xfId="0" applyNumberFormat="1" applyFont="1" applyFill="1"/>
    <xf numFmtId="165" fontId="6" fillId="4" borderId="0" xfId="0" applyNumberFormat="1" applyFont="1" applyFill="1" applyAlignment="1">
      <alignment horizontal="center"/>
    </xf>
    <xf numFmtId="165" fontId="6" fillId="4" borderId="0" xfId="0" applyNumberFormat="1" applyFont="1" applyFill="1"/>
    <xf numFmtId="167" fontId="0" fillId="3" borderId="1" xfId="0" applyNumberFormat="1" applyFill="1" applyBorder="1"/>
    <xf numFmtId="0" fontId="8" fillId="0" borderId="0" xfId="0" applyFont="1" applyAlignment="1">
      <alignment horizontal="center" vertical="center"/>
    </xf>
    <xf numFmtId="164" fontId="11" fillId="0" borderId="0" xfId="0" applyNumberFormat="1" applyFont="1"/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left" indent="1"/>
    </xf>
    <xf numFmtId="164" fontId="2" fillId="0" borderId="2" xfId="0" applyNumberFormat="1" applyFont="1" applyBorder="1"/>
    <xf numFmtId="164" fontId="2" fillId="0" borderId="3" xfId="0" applyNumberFormat="1" applyFont="1" applyBorder="1"/>
    <xf numFmtId="164" fontId="3" fillId="2" borderId="4" xfId="0" applyNumberFormat="1" applyFont="1" applyFill="1" applyBorder="1"/>
    <xf numFmtId="0" fontId="6" fillId="4" borderId="6" xfId="0" applyFont="1" applyFill="1" applyBorder="1" applyAlignment="1">
      <alignment horizontal="left"/>
    </xf>
    <xf numFmtId="165" fontId="3" fillId="0" borderId="1" xfId="0" applyNumberFormat="1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right"/>
    </xf>
    <xf numFmtId="165" fontId="3" fillId="0" borderId="1" xfId="0" quotePrefix="1" applyNumberFormat="1" applyFont="1" applyBorder="1" applyAlignment="1">
      <alignment horizontal="left" vertical="top" wrapText="1"/>
    </xf>
    <xf numFmtId="164" fontId="9" fillId="0" borderId="0" xfId="0" applyNumberFormat="1" applyFont="1"/>
    <xf numFmtId="0" fontId="9" fillId="0" borderId="0" xfId="0" applyFont="1"/>
    <xf numFmtId="0" fontId="11" fillId="0" borderId="0" xfId="0" applyFont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64" fontId="2" fillId="7" borderId="9" xfId="0" applyNumberFormat="1" applyFont="1" applyFill="1" applyBorder="1"/>
    <xf numFmtId="164" fontId="2" fillId="8" borderId="9" xfId="0" applyNumberFormat="1" applyFont="1" applyFill="1" applyBorder="1"/>
    <xf numFmtId="164" fontId="2" fillId="0" borderId="9" xfId="0" applyNumberFormat="1" applyFont="1" applyBorder="1"/>
    <xf numFmtId="164" fontId="2" fillId="7" borderId="9" xfId="0" applyNumberFormat="1" applyFont="1" applyFill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2" fillId="0" borderId="1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6" fillId="4" borderId="19" xfId="0" applyFont="1" applyFill="1" applyBorder="1"/>
    <xf numFmtId="0" fontId="6" fillId="4" borderId="20" xfId="0" applyFont="1" applyFill="1" applyBorder="1" applyAlignment="1">
      <alignment horizontal="center"/>
    </xf>
    <xf numFmtId="165" fontId="9" fillId="0" borderId="21" xfId="0" applyNumberFormat="1" applyFont="1" applyBorder="1" applyAlignment="1">
      <alignment horizontal="left" vertical="top" wrapText="1"/>
    </xf>
    <xf numFmtId="164" fontId="2" fillId="8" borderId="22" xfId="0" applyNumberFormat="1" applyFont="1" applyFill="1" applyBorder="1"/>
    <xf numFmtId="165" fontId="9" fillId="8" borderId="22" xfId="0" applyNumberFormat="1" applyFont="1" applyFill="1" applyBorder="1" applyAlignment="1">
      <alignment vertical="top" wrapText="1"/>
    </xf>
    <xf numFmtId="0" fontId="2" fillId="0" borderId="11" xfId="0" applyFont="1" applyBorder="1"/>
    <xf numFmtId="0" fontId="0" fillId="0" borderId="16" xfId="0" applyBorder="1"/>
    <xf numFmtId="0" fontId="0" fillId="0" borderId="2" xfId="0" applyBorder="1"/>
    <xf numFmtId="0" fontId="0" fillId="0" borderId="18" xfId="0" applyBorder="1"/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/>
    <xf numFmtId="165" fontId="9" fillId="0" borderId="27" xfId="0" applyNumberFormat="1" applyFont="1" applyBorder="1" applyAlignment="1">
      <alignment horizontal="left" vertical="top" wrapText="1"/>
    </xf>
    <xf numFmtId="164" fontId="4" fillId="8" borderId="9" xfId="0" applyNumberFormat="1" applyFont="1" applyFill="1" applyBorder="1"/>
    <xf numFmtId="0" fontId="9" fillId="5" borderId="1" xfId="0" applyFont="1" applyFill="1" applyBorder="1" applyAlignment="1">
      <alignment horizontal="right"/>
    </xf>
    <xf numFmtId="0" fontId="9" fillId="6" borderId="1" xfId="0" applyFont="1" applyFill="1" applyBorder="1" applyAlignment="1">
      <alignment horizontal="right"/>
    </xf>
    <xf numFmtId="0" fontId="6" fillId="4" borderId="9" xfId="0" applyFont="1" applyFill="1" applyBorder="1" applyAlignment="1">
      <alignment horizontal="center"/>
    </xf>
    <xf numFmtId="165" fontId="9" fillId="0" borderId="9" xfId="0" applyNumberFormat="1" applyFont="1" applyBorder="1" applyAlignment="1">
      <alignment vertical="top" wrapText="1"/>
    </xf>
    <xf numFmtId="3" fontId="2" fillId="7" borderId="9" xfId="0" applyNumberFormat="1" applyFont="1" applyFill="1" applyBorder="1"/>
    <xf numFmtId="0" fontId="4" fillId="5" borderId="1" xfId="0" applyFont="1" applyFill="1" applyBorder="1" applyAlignment="1">
      <alignment horizontal="right"/>
    </xf>
    <xf numFmtId="168" fontId="2" fillId="7" borderId="9" xfId="0" applyNumberFormat="1" applyFont="1" applyFill="1" applyBorder="1"/>
    <xf numFmtId="0" fontId="6" fillId="4" borderId="21" xfId="0" applyFont="1" applyFill="1" applyBorder="1"/>
    <xf numFmtId="0" fontId="12" fillId="0" borderId="0" xfId="1" applyBorder="1"/>
    <xf numFmtId="0" fontId="2" fillId="0" borderId="9" xfId="0" applyFont="1" applyBorder="1"/>
    <xf numFmtId="0" fontId="3" fillId="0" borderId="9" xfId="0" applyFont="1" applyBorder="1"/>
    <xf numFmtId="0" fontId="3" fillId="0" borderId="1" xfId="0" applyFont="1" applyBorder="1"/>
    <xf numFmtId="0" fontId="3" fillId="2" borderId="10" xfId="0" applyFont="1" applyFill="1" applyBorder="1"/>
    <xf numFmtId="0" fontId="3" fillId="2" borderId="15" xfId="0" applyFont="1" applyFill="1" applyBorder="1"/>
    <xf numFmtId="2" fontId="4" fillId="7" borderId="9" xfId="0" applyNumberFormat="1" applyFont="1" applyFill="1" applyBorder="1"/>
    <xf numFmtId="10" fontId="9" fillId="7" borderId="9" xfId="0" applyNumberFormat="1" applyFont="1" applyFill="1" applyBorder="1" applyAlignment="1">
      <alignment vertical="top" wrapText="1"/>
    </xf>
    <xf numFmtId="164" fontId="2" fillId="9" borderId="9" xfId="0" applyNumberFormat="1" applyFont="1" applyFill="1" applyBorder="1"/>
    <xf numFmtId="165" fontId="9" fillId="7" borderId="9" xfId="0" applyNumberFormat="1" applyFont="1" applyFill="1" applyBorder="1" applyAlignment="1">
      <alignment horizontal="center" vertical="top" wrapText="1"/>
    </xf>
    <xf numFmtId="0" fontId="15" fillId="0" borderId="0" xfId="0" applyFont="1"/>
    <xf numFmtId="10" fontId="4" fillId="7" borderId="9" xfId="0" applyNumberFormat="1" applyFont="1" applyFill="1" applyBorder="1"/>
    <xf numFmtId="10" fontId="3" fillId="0" borderId="9" xfId="0" applyNumberFormat="1" applyFont="1" applyBorder="1"/>
    <xf numFmtId="10" fontId="9" fillId="5" borderId="5" xfId="0" applyNumberFormat="1" applyFont="1" applyFill="1" applyBorder="1" applyAlignment="1">
      <alignment horizontal="right"/>
    </xf>
    <xf numFmtId="10" fontId="9" fillId="5" borderId="1" xfId="0" applyNumberFormat="1" applyFont="1" applyFill="1" applyBorder="1"/>
    <xf numFmtId="10" fontId="4" fillId="6" borderId="1" xfId="0" applyNumberFormat="1" applyFont="1" applyFill="1" applyBorder="1"/>
    <xf numFmtId="10" fontId="9" fillId="5" borderId="5" xfId="0" applyNumberFormat="1" applyFont="1" applyFill="1" applyBorder="1"/>
    <xf numFmtId="10" fontId="4" fillId="6" borderId="14" xfId="0" applyNumberFormat="1" applyFont="1" applyFill="1" applyBorder="1"/>
    <xf numFmtId="10" fontId="9" fillId="8" borderId="9" xfId="0" applyNumberFormat="1" applyFont="1" applyFill="1" applyBorder="1" applyAlignment="1">
      <alignment vertical="top" wrapText="1"/>
    </xf>
    <xf numFmtId="10" fontId="9" fillId="8" borderId="22" xfId="0" applyNumberFormat="1" applyFont="1" applyFill="1" applyBorder="1" applyAlignment="1">
      <alignment vertical="top" wrapText="1"/>
    </xf>
    <xf numFmtId="10" fontId="2" fillId="0" borderId="9" xfId="0" applyNumberFormat="1" applyFont="1" applyBorder="1"/>
    <xf numFmtId="10" fontId="2" fillId="8" borderId="9" xfId="0" applyNumberFormat="1" applyFont="1" applyFill="1" applyBorder="1"/>
    <xf numFmtId="10" fontId="2" fillId="8" borderId="22" xfId="0" applyNumberFormat="1" applyFont="1" applyFill="1" applyBorder="1"/>
    <xf numFmtId="0" fontId="15" fillId="0" borderId="15" xfId="0" applyFont="1" applyBorder="1"/>
    <xf numFmtId="0" fontId="2" fillId="0" borderId="21" xfId="0" applyFont="1" applyBorder="1"/>
    <xf numFmtId="0" fontId="3" fillId="0" borderId="21" xfId="0" applyFont="1" applyBorder="1"/>
    <xf numFmtId="165" fontId="3" fillId="0" borderId="21" xfId="0" applyNumberFormat="1" applyFont="1" applyBorder="1" applyAlignment="1">
      <alignment horizontal="left" vertical="top" wrapText="1"/>
    </xf>
    <xf numFmtId="0" fontId="9" fillId="0" borderId="13" xfId="0" applyFont="1" applyBorder="1"/>
    <xf numFmtId="0" fontId="3" fillId="0" borderId="30" xfId="0" applyFont="1" applyBorder="1"/>
    <xf numFmtId="10" fontId="3" fillId="0" borderId="31" xfId="0" applyNumberFormat="1" applyFont="1" applyBorder="1"/>
    <xf numFmtId="0" fontId="14" fillId="4" borderId="9" xfId="0" applyFont="1" applyFill="1" applyBorder="1" applyAlignment="1">
      <alignment horizontal="center" vertical="center" wrapText="1"/>
    </xf>
    <xf numFmtId="0" fontId="15" fillId="2" borderId="9" xfId="0" applyFont="1" applyFill="1" applyBorder="1"/>
    <xf numFmtId="0" fontId="14" fillId="4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left"/>
    </xf>
    <xf numFmtId="0" fontId="15" fillId="2" borderId="21" xfId="0" applyFont="1" applyFill="1" applyBorder="1"/>
    <xf numFmtId="0" fontId="0" fillId="2" borderId="11" xfId="0" applyFill="1" applyBorder="1"/>
    <xf numFmtId="0" fontId="6" fillId="4" borderId="32" xfId="0" applyFont="1" applyFill="1" applyBorder="1"/>
    <xf numFmtId="0" fontId="6" fillId="4" borderId="33" xfId="0" applyFont="1" applyFill="1" applyBorder="1" applyAlignment="1">
      <alignment horizontal="center"/>
    </xf>
    <xf numFmtId="10" fontId="9" fillId="7" borderId="29" xfId="0" applyNumberFormat="1" applyFont="1" applyFill="1" applyBorder="1" applyAlignment="1">
      <alignment vertical="top" wrapText="1"/>
    </xf>
    <xf numFmtId="0" fontId="2" fillId="0" borderId="1" xfId="0" applyFont="1" applyBorder="1"/>
    <xf numFmtId="166" fontId="2" fillId="0" borderId="1" xfId="0" applyNumberFormat="1" applyFont="1" applyBorder="1"/>
    <xf numFmtId="164" fontId="3" fillId="0" borderId="1" xfId="0" applyNumberFormat="1" applyFont="1" applyBorder="1"/>
    <xf numFmtId="164" fontId="3" fillId="0" borderId="9" xfId="0" applyNumberFormat="1" applyFont="1" applyBorder="1"/>
    <xf numFmtId="164" fontId="9" fillId="7" borderId="9" xfId="0" applyNumberFormat="1" applyFont="1" applyFill="1" applyBorder="1"/>
    <xf numFmtId="3" fontId="9" fillId="0" borderId="9" xfId="0" applyNumberFormat="1" applyFont="1" applyBorder="1"/>
    <xf numFmtId="164" fontId="9" fillId="0" borderId="1" xfId="0" applyNumberFormat="1" applyFont="1" applyBorder="1"/>
    <xf numFmtId="0" fontId="12" fillId="0" borderId="0" xfId="1"/>
    <xf numFmtId="10" fontId="7" fillId="0" borderId="9" xfId="0" applyNumberFormat="1" applyFont="1" applyBorder="1"/>
    <xf numFmtId="0" fontId="6" fillId="4" borderId="0" xfId="0" applyFont="1" applyFill="1" applyAlignment="1">
      <alignment horizontal="right"/>
    </xf>
    <xf numFmtId="0" fontId="9" fillId="0" borderId="1" xfId="0" applyFont="1" applyBorder="1" applyAlignment="1">
      <alignment horizontal="right"/>
    </xf>
    <xf numFmtId="0" fontId="3" fillId="10" borderId="30" xfId="0" applyFont="1" applyFill="1" applyBorder="1"/>
    <xf numFmtId="10" fontId="3" fillId="10" borderId="31" xfId="0" applyNumberFormat="1" applyFont="1" applyFill="1" applyBorder="1"/>
    <xf numFmtId="0" fontId="3" fillId="10" borderId="9" xfId="0" applyFont="1" applyFill="1" applyBorder="1"/>
    <xf numFmtId="164" fontId="3" fillId="10" borderId="9" xfId="0" applyNumberFormat="1" applyFont="1" applyFill="1" applyBorder="1"/>
    <xf numFmtId="167" fontId="3" fillId="10" borderId="9" xfId="0" applyNumberFormat="1" applyFont="1" applyFill="1" applyBorder="1"/>
    <xf numFmtId="167" fontId="6" fillId="0" borderId="0" xfId="0" applyNumberFormat="1" applyFont="1" applyAlignment="1">
      <alignment horizontal="right"/>
    </xf>
    <xf numFmtId="0" fontId="16" fillId="0" borderId="0" xfId="0" applyFont="1"/>
    <xf numFmtId="0" fontId="2" fillId="0" borderId="1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8" xfId="0" applyFont="1" applyBorder="1" applyAlignment="1">
      <alignment horizontal="center" vertical="top" wrapText="1"/>
    </xf>
    <xf numFmtId="0" fontId="2" fillId="0" borderId="30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E1F2"/>
      <color rgb="FFF8696B"/>
      <color rgb="FF63BE7B"/>
      <color rgb="FF0000FF"/>
      <color rgb="FF3333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g.finance.yahoo.com/quote/MSFT/" TargetMode="External"/><Relationship Id="rId2" Type="http://schemas.openxmlformats.org/officeDocument/2006/relationships/hyperlink" Target="https://www.cnbc.com/quotes/US10Y" TargetMode="External"/><Relationship Id="rId1" Type="http://schemas.openxmlformats.org/officeDocument/2006/relationships/hyperlink" Target="https://sg.finance.yahoo.com/quote/MSFT/" TargetMode="External"/><Relationship Id="rId6" Type="http://schemas.openxmlformats.org/officeDocument/2006/relationships/hyperlink" Target="https://taxsummaries.pwc.com/united-states/corporate/taxes-on-corporate-income" TargetMode="External"/><Relationship Id="rId5" Type="http://schemas.openxmlformats.org/officeDocument/2006/relationships/hyperlink" Target="https://taxsummaries.pwc.com/united-states/corporate/taxes-on-corporate-income" TargetMode="External"/><Relationship Id="rId4" Type="http://schemas.openxmlformats.org/officeDocument/2006/relationships/hyperlink" Target="https://www.linkedin.com/pulse/equity-risk-premiums-country-july-2026-update-aswath-damodaran-zti8c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reserve.gov/monetarypolicy/files/fomcprojtabl2026061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7"/>
  <sheetViews>
    <sheetView showGridLines="0" tabSelected="1" zoomScaleNormal="100" workbookViewId="0">
      <selection activeCell="B2" sqref="B2"/>
    </sheetView>
  </sheetViews>
  <sheetFormatPr defaultColWidth="8.6640625" defaultRowHeight="14.4" x14ac:dyDescent="0.3"/>
  <cols>
    <col min="1" max="1" width="3" customWidth="1"/>
    <col min="2" max="2" width="61.6640625" bestFit="1" customWidth="1"/>
    <col min="3" max="3" width="22.6640625" bestFit="1" customWidth="1"/>
    <col min="4" max="5" width="16.21875" customWidth="1"/>
  </cols>
  <sheetData>
    <row r="2" spans="2:5" ht="17.399999999999999" x14ac:dyDescent="0.3">
      <c r="B2" s="1" t="s">
        <v>167</v>
      </c>
    </row>
    <row r="4" spans="2:5" x14ac:dyDescent="0.3">
      <c r="B4" s="3" t="s">
        <v>0</v>
      </c>
      <c r="C4" s="4"/>
      <c r="E4" s="5" t="s">
        <v>171</v>
      </c>
    </row>
    <row r="5" spans="2:5" x14ac:dyDescent="0.3">
      <c r="B5" s="65" t="s">
        <v>1</v>
      </c>
      <c r="C5" s="111" t="s">
        <v>31</v>
      </c>
    </row>
    <row r="6" spans="2:5" x14ac:dyDescent="0.3">
      <c r="B6" s="65" t="s">
        <v>2</v>
      </c>
      <c r="C6" s="111" t="s">
        <v>30</v>
      </c>
    </row>
    <row r="7" spans="2:5" x14ac:dyDescent="0.3">
      <c r="B7" s="65" t="s">
        <v>3</v>
      </c>
      <c r="C7" s="111" t="s">
        <v>161</v>
      </c>
    </row>
    <row r="8" spans="2:5" x14ac:dyDescent="0.3">
      <c r="B8" s="65" t="s">
        <v>172</v>
      </c>
      <c r="C8" s="111" t="s">
        <v>170</v>
      </c>
      <c r="E8" s="6" t="s">
        <v>176</v>
      </c>
    </row>
    <row r="9" spans="2:5" x14ac:dyDescent="0.3">
      <c r="B9" s="65" t="s">
        <v>173</v>
      </c>
      <c r="C9" s="111" t="s">
        <v>174</v>
      </c>
      <c r="E9" s="6" t="s">
        <v>175</v>
      </c>
    </row>
    <row r="11" spans="2:5" x14ac:dyDescent="0.3">
      <c r="B11" s="3" t="s">
        <v>89</v>
      </c>
      <c r="C11" s="4"/>
    </row>
    <row r="12" spans="2:5" x14ac:dyDescent="0.3">
      <c r="B12" s="65" t="s">
        <v>102</v>
      </c>
      <c r="C12" s="54" t="s">
        <v>92</v>
      </c>
    </row>
    <row r="13" spans="2:5" x14ac:dyDescent="0.3">
      <c r="B13" s="65" t="s">
        <v>103</v>
      </c>
      <c r="C13" s="59" t="s">
        <v>92</v>
      </c>
    </row>
    <row r="14" spans="2:5" x14ac:dyDescent="0.3">
      <c r="B14" s="65" t="s">
        <v>90</v>
      </c>
      <c r="C14" s="55" t="s">
        <v>92</v>
      </c>
    </row>
    <row r="15" spans="2:5" x14ac:dyDescent="0.3">
      <c r="B15" s="65" t="s">
        <v>91</v>
      </c>
      <c r="C15" s="24" t="s">
        <v>92</v>
      </c>
    </row>
    <row r="17" spans="2:2" x14ac:dyDescent="0.3">
      <c r="B17" s="118" t="s"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7E7A-406C-410B-9A2E-1706B1955C59}">
  <dimension ref="B2:L21"/>
  <sheetViews>
    <sheetView showGridLines="0" zoomScale="70" zoomScaleNormal="70" workbookViewId="0">
      <selection activeCell="B14" sqref="B14"/>
    </sheetView>
  </sheetViews>
  <sheetFormatPr defaultColWidth="8.6640625" defaultRowHeight="14.4" x14ac:dyDescent="0.3"/>
  <cols>
    <col min="1" max="1" width="3" customWidth="1"/>
    <col min="2" max="2" width="32.77734375" customWidth="1"/>
    <col min="3" max="9" width="15.21875" customWidth="1"/>
    <col min="10" max="11" width="14.88671875" customWidth="1"/>
    <col min="12" max="12" width="42.44140625" customWidth="1"/>
  </cols>
  <sheetData>
    <row r="2" spans="2:12" ht="17.399999999999999" x14ac:dyDescent="0.3">
      <c r="B2" s="1" t="s">
        <v>65</v>
      </c>
    </row>
    <row r="4" spans="2:12" x14ac:dyDescent="0.3">
      <c r="C4" s="15" t="s">
        <v>33</v>
      </c>
      <c r="D4" s="15" t="s">
        <v>33</v>
      </c>
      <c r="E4" s="15" t="s">
        <v>33</v>
      </c>
      <c r="F4" s="15" t="s">
        <v>33</v>
      </c>
      <c r="G4" s="15" t="s">
        <v>34</v>
      </c>
      <c r="H4" s="15" t="s">
        <v>34</v>
      </c>
      <c r="I4" s="15" t="s">
        <v>34</v>
      </c>
      <c r="J4" s="15" t="s">
        <v>34</v>
      </c>
      <c r="K4" s="15" t="s">
        <v>34</v>
      </c>
    </row>
    <row r="5" spans="2:12" x14ac:dyDescent="0.3">
      <c r="B5" s="7" t="s">
        <v>6</v>
      </c>
      <c r="C5" s="8" t="s">
        <v>43</v>
      </c>
      <c r="D5" s="8" t="s">
        <v>44</v>
      </c>
      <c r="E5" s="8" t="s">
        <v>45</v>
      </c>
      <c r="F5" s="8" t="s">
        <v>46</v>
      </c>
      <c r="G5" s="8" t="s">
        <v>47</v>
      </c>
      <c r="H5" s="8" t="s">
        <v>48</v>
      </c>
      <c r="I5" s="8" t="s">
        <v>49</v>
      </c>
      <c r="J5" s="8" t="s">
        <v>50</v>
      </c>
      <c r="K5" s="8" t="s">
        <v>57</v>
      </c>
    </row>
    <row r="6" spans="2:12" x14ac:dyDescent="0.3">
      <c r="B6" s="2" t="s">
        <v>7</v>
      </c>
      <c r="C6" s="9">
        <v>211915</v>
      </c>
      <c r="D6" s="9">
        <v>245122</v>
      </c>
      <c r="E6" s="9">
        <v>281724</v>
      </c>
      <c r="F6" s="9">
        <v>331839</v>
      </c>
      <c r="G6" s="9">
        <f>F6*(1+G17)</f>
        <v>391570.01999999996</v>
      </c>
      <c r="H6" s="9">
        <f t="shared" ref="H6:K6" si="0">G6*(1+H17)</f>
        <v>450305.52299999993</v>
      </c>
      <c r="I6" s="9">
        <f t="shared" si="0"/>
        <v>506593.71337499993</v>
      </c>
      <c r="J6" s="9">
        <f t="shared" si="0"/>
        <v>559786.05327937496</v>
      </c>
      <c r="K6" s="9">
        <f t="shared" si="0"/>
        <v>610166.7980745188</v>
      </c>
    </row>
    <row r="7" spans="2:12" x14ac:dyDescent="0.3">
      <c r="B7" s="17" t="s">
        <v>38</v>
      </c>
      <c r="C7" s="19">
        <v>-65863</v>
      </c>
      <c r="D7" s="19">
        <v>-74114</v>
      </c>
      <c r="E7" s="19">
        <v>-87831</v>
      </c>
      <c r="F7" s="19">
        <v>-106374</v>
      </c>
      <c r="G7" s="19">
        <f>-G18*G6</f>
        <v>-127260.25649999999</v>
      </c>
      <c r="H7" s="19">
        <f t="shared" ref="H7:K7" si="1">-H18*H6</f>
        <v>-148150.51706699998</v>
      </c>
      <c r="I7" s="19">
        <f t="shared" si="1"/>
        <v>-168189.11284049999</v>
      </c>
      <c r="J7" s="19">
        <f t="shared" si="1"/>
        <v>-186968.54179531123</v>
      </c>
      <c r="K7" s="19">
        <f t="shared" si="1"/>
        <v>-205016.04415303833</v>
      </c>
    </row>
    <row r="8" spans="2:12" x14ac:dyDescent="0.3">
      <c r="B8" s="5" t="s">
        <v>35</v>
      </c>
      <c r="C8" s="16">
        <f>C6+C7</f>
        <v>146052</v>
      </c>
      <c r="D8" s="16">
        <f t="shared" ref="D8:J8" si="2">D6+D7</f>
        <v>171008</v>
      </c>
      <c r="E8" s="16">
        <f t="shared" si="2"/>
        <v>193893</v>
      </c>
      <c r="F8" s="16">
        <f t="shared" si="2"/>
        <v>225465</v>
      </c>
      <c r="G8" s="16">
        <f t="shared" si="2"/>
        <v>264309.7635</v>
      </c>
      <c r="H8" s="16">
        <f t="shared" si="2"/>
        <v>302155.00593299995</v>
      </c>
      <c r="I8" s="16">
        <f t="shared" si="2"/>
        <v>338404.60053449997</v>
      </c>
      <c r="J8" s="16">
        <f t="shared" si="2"/>
        <v>372817.5114840637</v>
      </c>
      <c r="K8" s="16">
        <f t="shared" ref="K8" si="3">K6+K7</f>
        <v>405150.7539214805</v>
      </c>
    </row>
    <row r="9" spans="2:12" x14ac:dyDescent="0.3">
      <c r="B9" s="18" t="s">
        <v>37</v>
      </c>
      <c r="C9" s="16"/>
      <c r="D9" s="16"/>
      <c r="E9" s="16"/>
      <c r="F9" s="16"/>
      <c r="G9" s="16"/>
      <c r="H9" s="16"/>
      <c r="I9" s="16"/>
      <c r="J9" s="16"/>
      <c r="K9" s="16"/>
    </row>
    <row r="10" spans="2:12" x14ac:dyDescent="0.3">
      <c r="B10" s="17" t="s">
        <v>36</v>
      </c>
      <c r="C10" s="9">
        <v>27195</v>
      </c>
      <c r="D10" s="9">
        <v>29510</v>
      </c>
      <c r="E10" s="9">
        <v>32488</v>
      </c>
      <c r="F10" s="9">
        <v>35562</v>
      </c>
      <c r="G10" s="9">
        <f>G19*G6</f>
        <v>40331.712059999991</v>
      </c>
      <c r="H10" s="9">
        <f t="shared" ref="H10:K10" si="4">H19*H6</f>
        <v>45030.552299999996</v>
      </c>
      <c r="I10" s="9">
        <f t="shared" si="4"/>
        <v>49646.183910749998</v>
      </c>
      <c r="J10" s="9">
        <f t="shared" si="4"/>
        <v>53739.461114819998</v>
      </c>
      <c r="K10" s="9">
        <f t="shared" si="4"/>
        <v>57355.679019004769</v>
      </c>
    </row>
    <row r="11" spans="2:12" x14ac:dyDescent="0.3">
      <c r="B11" s="17" t="s">
        <v>39</v>
      </c>
      <c r="C11" s="9">
        <v>22759</v>
      </c>
      <c r="D11" s="9">
        <v>24456</v>
      </c>
      <c r="E11" s="9">
        <v>25654</v>
      </c>
      <c r="F11" s="9">
        <v>26710</v>
      </c>
      <c r="G11" s="9">
        <f>F11*(1+G20)</f>
        <v>27805.109999999997</v>
      </c>
      <c r="H11" s="9">
        <f t="shared" ref="H11:K11" si="5">G11*(1+H20)</f>
        <v>28917.314399999999</v>
      </c>
      <c r="I11" s="9">
        <f t="shared" si="5"/>
        <v>29761.699980479996</v>
      </c>
      <c r="J11" s="9">
        <f t="shared" si="5"/>
        <v>30600.979919929534</v>
      </c>
      <c r="K11" s="9">
        <f t="shared" si="5"/>
        <v>31463.927553671547</v>
      </c>
    </row>
    <row r="12" spans="2:12" x14ac:dyDescent="0.3">
      <c r="B12" s="18" t="s">
        <v>40</v>
      </c>
      <c r="C12" s="19">
        <v>7575</v>
      </c>
      <c r="D12" s="19">
        <v>7609</v>
      </c>
      <c r="E12" s="19">
        <v>7223</v>
      </c>
      <c r="F12" s="19">
        <v>7956</v>
      </c>
      <c r="G12" s="19">
        <f>F12*(1+G21)</f>
        <v>8210.5920000000006</v>
      </c>
      <c r="H12" s="19">
        <f t="shared" ref="H12:K12" si="6">G12*(1+H21)</f>
        <v>8473.3309440000012</v>
      </c>
      <c r="I12" s="19">
        <f t="shared" si="6"/>
        <v>8661.4388909568006</v>
      </c>
      <c r="J12" s="19">
        <f t="shared" si="6"/>
        <v>8853.7228343360421</v>
      </c>
      <c r="K12" s="19">
        <f t="shared" si="6"/>
        <v>9050.2754812583025</v>
      </c>
    </row>
    <row r="13" spans="2:12" x14ac:dyDescent="0.3">
      <c r="B13" s="2" t="s">
        <v>41</v>
      </c>
      <c r="C13" s="20">
        <f t="shared" ref="C13:D13" si="7">-SUM(C10:C12)</f>
        <v>-57529</v>
      </c>
      <c r="D13" s="20">
        <f t="shared" si="7"/>
        <v>-61575</v>
      </c>
      <c r="E13" s="20">
        <f>-SUM(E10:E12)</f>
        <v>-65365</v>
      </c>
      <c r="F13" s="20">
        <f t="shared" ref="F13:K13" si="8">-SUM(F10:F12)</f>
        <v>-70228</v>
      </c>
      <c r="G13" s="20">
        <f t="shared" si="8"/>
        <v>-76347.414059999996</v>
      </c>
      <c r="H13" s="20">
        <f t="shared" si="8"/>
        <v>-82421.197644</v>
      </c>
      <c r="I13" s="20">
        <f t="shared" si="8"/>
        <v>-88069.322782186791</v>
      </c>
      <c r="J13" s="20">
        <f t="shared" si="8"/>
        <v>-93194.163869085576</v>
      </c>
      <c r="K13" s="20">
        <f t="shared" si="8"/>
        <v>-97869.88205393462</v>
      </c>
    </row>
    <row r="14" spans="2:12" ht="15" thickBot="1" x14ac:dyDescent="0.35">
      <c r="B14" s="3" t="s">
        <v>32</v>
      </c>
      <c r="C14" s="21">
        <f>C8+C13</f>
        <v>88523</v>
      </c>
      <c r="D14" s="21">
        <f t="shared" ref="D14:K14" si="9">D8+D13</f>
        <v>109433</v>
      </c>
      <c r="E14" s="21">
        <f t="shared" si="9"/>
        <v>128528</v>
      </c>
      <c r="F14" s="21">
        <f t="shared" si="9"/>
        <v>155237</v>
      </c>
      <c r="G14" s="21">
        <f t="shared" si="9"/>
        <v>187962.34944000002</v>
      </c>
      <c r="H14" s="21">
        <f t="shared" si="9"/>
        <v>219733.80828899995</v>
      </c>
      <c r="I14" s="21">
        <f t="shared" si="9"/>
        <v>250335.27775231318</v>
      </c>
      <c r="J14" s="21">
        <f t="shared" si="9"/>
        <v>279623.34761497809</v>
      </c>
      <c r="K14" s="21">
        <f t="shared" si="9"/>
        <v>307280.87186754588</v>
      </c>
    </row>
    <row r="15" spans="2:12" ht="18" thickTop="1" x14ac:dyDescent="0.3">
      <c r="B15" s="1"/>
    </row>
    <row r="16" spans="2:12" x14ac:dyDescent="0.3">
      <c r="B16" s="22" t="s">
        <v>51</v>
      </c>
      <c r="C16" s="8" t="s">
        <v>43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49</v>
      </c>
      <c r="J16" s="8" t="s">
        <v>50</v>
      </c>
      <c r="K16" s="8" t="s">
        <v>57</v>
      </c>
      <c r="L16" s="22" t="s">
        <v>52</v>
      </c>
    </row>
    <row r="17" spans="2:12" ht="124.2" x14ac:dyDescent="0.3">
      <c r="B17" s="23" t="s">
        <v>58</v>
      </c>
      <c r="C17" s="75" t="s">
        <v>42</v>
      </c>
      <c r="D17" s="76">
        <f>(D6-C6)/C6</f>
        <v>0.15669962013071279</v>
      </c>
      <c r="E17" s="76">
        <f>(E6-D6)/D6</f>
        <v>0.14932156232406721</v>
      </c>
      <c r="F17" s="76">
        <f>(F6-E6)/E6</f>
        <v>0.17788686799846659</v>
      </c>
      <c r="G17" s="77">
        <v>0.18</v>
      </c>
      <c r="H17" s="77">
        <v>0.15</v>
      </c>
      <c r="I17" s="77">
        <v>0.125</v>
      </c>
      <c r="J17" s="77">
        <v>0.105</v>
      </c>
      <c r="K17" s="77">
        <v>0.09</v>
      </c>
      <c r="L17" s="25" t="s">
        <v>66</v>
      </c>
    </row>
    <row r="18" spans="2:12" ht="69" x14ac:dyDescent="0.3">
      <c r="B18" s="23" t="s">
        <v>56</v>
      </c>
      <c r="C18" s="78">
        <f>-C7/C6</f>
        <v>0.31079914116508978</v>
      </c>
      <c r="D18" s="76">
        <f>-D7/D6</f>
        <v>0.30235556172028621</v>
      </c>
      <c r="E18" s="76">
        <f>-E7/E6</f>
        <v>0.31176257613834818</v>
      </c>
      <c r="F18" s="76">
        <f>-F7/F6</f>
        <v>0.32055906629419689</v>
      </c>
      <c r="G18" s="77">
        <v>0.32500000000000001</v>
      </c>
      <c r="H18" s="77">
        <v>0.32900000000000001</v>
      </c>
      <c r="I18" s="77">
        <v>0.33200000000000002</v>
      </c>
      <c r="J18" s="77">
        <v>0.33400000000000002</v>
      </c>
      <c r="K18" s="77">
        <v>0.33600000000000002</v>
      </c>
      <c r="L18" s="25" t="s">
        <v>67</v>
      </c>
    </row>
    <row r="19" spans="2:12" ht="55.2" x14ac:dyDescent="0.3">
      <c r="B19" s="23" t="s">
        <v>55</v>
      </c>
      <c r="C19" s="78">
        <f>C10/C6</f>
        <v>0.12832975485454073</v>
      </c>
      <c r="D19" s="78">
        <f t="shared" ref="D19:F19" si="10">D10/D6</f>
        <v>0.12038903076835208</v>
      </c>
      <c r="E19" s="78">
        <f t="shared" si="10"/>
        <v>0.11531853871164686</v>
      </c>
      <c r="F19" s="78">
        <f t="shared" si="10"/>
        <v>0.10716642709265638</v>
      </c>
      <c r="G19" s="77">
        <v>0.10299999999999999</v>
      </c>
      <c r="H19" s="77">
        <v>0.1</v>
      </c>
      <c r="I19" s="77">
        <v>9.8000000000000004E-2</v>
      </c>
      <c r="J19" s="77">
        <v>9.6000000000000002E-2</v>
      </c>
      <c r="K19" s="77">
        <v>9.4E-2</v>
      </c>
      <c r="L19" s="25" t="s">
        <v>68</v>
      </c>
    </row>
    <row r="20" spans="2:12" ht="151.80000000000001" x14ac:dyDescent="0.3">
      <c r="B20" s="23" t="s">
        <v>54</v>
      </c>
      <c r="C20" s="75" t="s">
        <v>42</v>
      </c>
      <c r="D20" s="75">
        <f t="shared" ref="D20:F21" si="11">(D11-C11)/C11</f>
        <v>7.4563908783338462E-2</v>
      </c>
      <c r="E20" s="75">
        <f t="shared" si="11"/>
        <v>4.8985933922145897E-2</v>
      </c>
      <c r="F20" s="75">
        <f t="shared" si="11"/>
        <v>4.1163171435253762E-2</v>
      </c>
      <c r="G20" s="77">
        <v>4.1000000000000002E-2</v>
      </c>
      <c r="H20" s="77">
        <v>0.04</v>
      </c>
      <c r="I20" s="77">
        <v>2.92E-2</v>
      </c>
      <c r="J20" s="77">
        <v>2.8200000000000003E-2</v>
      </c>
      <c r="K20" s="77">
        <v>2.8200000000000003E-2</v>
      </c>
      <c r="L20" s="25" t="s">
        <v>69</v>
      </c>
    </row>
    <row r="21" spans="2:12" ht="234.6" x14ac:dyDescent="0.3">
      <c r="B21" s="23" t="s">
        <v>53</v>
      </c>
      <c r="C21" s="75" t="s">
        <v>42</v>
      </c>
      <c r="D21" s="75">
        <f t="shared" si="11"/>
        <v>4.4884488448844887E-3</v>
      </c>
      <c r="E21" s="75">
        <f t="shared" si="11"/>
        <v>-5.0729399395452755E-2</v>
      </c>
      <c r="F21" s="75">
        <f t="shared" si="11"/>
        <v>0.1014813789284231</v>
      </c>
      <c r="G21" s="77">
        <v>3.2000000000000001E-2</v>
      </c>
      <c r="H21" s="77">
        <v>3.2000000000000001E-2</v>
      </c>
      <c r="I21" s="77">
        <v>2.2200000000000001E-2</v>
      </c>
      <c r="J21" s="77">
        <v>2.2200000000000001E-2</v>
      </c>
      <c r="K21" s="77">
        <v>2.2200000000000001E-2</v>
      </c>
      <c r="L21" s="25" t="s">
        <v>70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3"/>
  <sheetViews>
    <sheetView showGridLines="0" zoomScale="70" zoomScaleNormal="70" workbookViewId="0">
      <selection activeCell="B2" sqref="B2"/>
    </sheetView>
  </sheetViews>
  <sheetFormatPr defaultColWidth="8.6640625" defaultRowHeight="14.4" x14ac:dyDescent="0.3"/>
  <cols>
    <col min="1" max="1" width="3" customWidth="1"/>
    <col min="2" max="2" width="67.88671875" customWidth="1"/>
    <col min="3" max="10" width="15" customWidth="1"/>
  </cols>
  <sheetData>
    <row r="2" spans="2:10" ht="17.399999999999999" x14ac:dyDescent="0.3">
      <c r="B2" s="1" t="s">
        <v>165</v>
      </c>
    </row>
    <row r="4" spans="2:10" x14ac:dyDescent="0.3">
      <c r="C4" s="15" t="s">
        <v>33</v>
      </c>
      <c r="D4" s="15" t="s">
        <v>34</v>
      </c>
      <c r="E4" s="15" t="s">
        <v>34</v>
      </c>
      <c r="F4" s="15" t="s">
        <v>34</v>
      </c>
      <c r="G4" s="15" t="s">
        <v>34</v>
      </c>
      <c r="H4" s="15" t="s">
        <v>34</v>
      </c>
    </row>
    <row r="5" spans="2:10" x14ac:dyDescent="0.3">
      <c r="B5" s="7" t="s">
        <v>6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50</v>
      </c>
      <c r="H5" s="8" t="s">
        <v>57</v>
      </c>
    </row>
    <row r="6" spans="2:10" x14ac:dyDescent="0.3">
      <c r="B6" s="27" t="s">
        <v>7</v>
      </c>
      <c r="C6" s="26">
        <f>Projections!F6</f>
        <v>331839</v>
      </c>
      <c r="D6" s="9">
        <f>Projections!G6</f>
        <v>391570.01999999996</v>
      </c>
      <c r="E6" s="9">
        <f>Projections!H6</f>
        <v>450305.52299999993</v>
      </c>
      <c r="F6" s="9">
        <f>Projections!I6</f>
        <v>506593.71337499993</v>
      </c>
      <c r="G6" s="9">
        <f>Projections!J6</f>
        <v>559786.05327937496</v>
      </c>
      <c r="H6" s="9">
        <f>Projections!K6</f>
        <v>610166.7980745188</v>
      </c>
    </row>
    <row r="7" spans="2:10" x14ac:dyDescent="0.3">
      <c r="B7" s="28" t="s">
        <v>71</v>
      </c>
      <c r="C7" s="16">
        <f>Projections!F14</f>
        <v>155237</v>
      </c>
      <c r="D7" s="16">
        <f>Projections!G14</f>
        <v>187962.34944000002</v>
      </c>
      <c r="E7" s="16">
        <f>Projections!H14</f>
        <v>219733.80828899995</v>
      </c>
      <c r="F7" s="16">
        <f>Projections!I14</f>
        <v>250335.27775231318</v>
      </c>
      <c r="G7" s="16">
        <f>Projections!J14</f>
        <v>279623.34761497809</v>
      </c>
      <c r="H7" s="16">
        <f>Projections!K14</f>
        <v>307280.87186754588</v>
      </c>
    </row>
    <row r="8" spans="2:10" x14ac:dyDescent="0.3">
      <c r="B8" s="2" t="s">
        <v>8</v>
      </c>
      <c r="C8" s="9">
        <f t="shared" ref="C8:H8" si="0">-E19</f>
        <v>-30115.977999999999</v>
      </c>
      <c r="D8" s="9">
        <f t="shared" si="0"/>
        <v>-36840.620490240006</v>
      </c>
      <c r="E8" s="9">
        <f t="shared" si="0"/>
        <v>-43507.29404122199</v>
      </c>
      <c r="F8" s="9">
        <f t="shared" si="0"/>
        <v>-50067.055550462639</v>
      </c>
      <c r="G8" s="9">
        <f t="shared" si="0"/>
        <v>-56204.292870610603</v>
      </c>
      <c r="H8" s="9">
        <f t="shared" si="0"/>
        <v>-62070.736117244262</v>
      </c>
    </row>
    <row r="9" spans="2:10" x14ac:dyDescent="0.3">
      <c r="B9" s="5" t="s">
        <v>9</v>
      </c>
      <c r="C9" s="10">
        <f t="shared" ref="C9:H9" si="1">C7+C8</f>
        <v>125121.022</v>
      </c>
      <c r="D9" s="10">
        <f t="shared" si="1"/>
        <v>151121.72894976003</v>
      </c>
      <c r="E9" s="10">
        <f t="shared" si="1"/>
        <v>176226.51424777796</v>
      </c>
      <c r="F9" s="10">
        <f t="shared" si="1"/>
        <v>200268.22220185056</v>
      </c>
      <c r="G9" s="10">
        <f t="shared" si="1"/>
        <v>223419.05474436749</v>
      </c>
      <c r="H9" s="10">
        <f t="shared" si="1"/>
        <v>245210.13575030162</v>
      </c>
    </row>
    <row r="10" spans="2:10" x14ac:dyDescent="0.3">
      <c r="B10" s="2" t="s">
        <v>73</v>
      </c>
      <c r="C10" s="9">
        <f>E26</f>
        <v>38534</v>
      </c>
      <c r="D10" s="9">
        <f t="shared" ref="D10:H10" si="2">F26</f>
        <v>52353.846153846149</v>
      </c>
      <c r="E10" s="9">
        <f t="shared" si="2"/>
        <v>72863.236429122713</v>
      </c>
      <c r="F10" s="9">
        <f t="shared" si="2"/>
        <v>92305.558039637297</v>
      </c>
      <c r="G10" s="9">
        <f t="shared" si="2"/>
        <v>111009.8571116252</v>
      </c>
      <c r="H10" s="9">
        <f t="shared" si="2"/>
        <v>128766.90252312557</v>
      </c>
    </row>
    <row r="11" spans="2:10" x14ac:dyDescent="0.3">
      <c r="B11" s="2" t="s">
        <v>74</v>
      </c>
      <c r="C11" s="9">
        <f>-E47</f>
        <v>-115948</v>
      </c>
      <c r="D11" s="9">
        <f t="shared" ref="D11:H11" si="3">-F47</f>
        <v>-175000</v>
      </c>
      <c r="E11" s="9">
        <f t="shared" si="3"/>
        <v>-189128.31965999995</v>
      </c>
      <c r="F11" s="9">
        <f t="shared" si="3"/>
        <v>-204157.26649012498</v>
      </c>
      <c r="G11" s="9">
        <f t="shared" si="3"/>
        <v>-217196.98867239748</v>
      </c>
      <c r="H11" s="9">
        <f t="shared" si="3"/>
        <v>-230643.0496721681</v>
      </c>
    </row>
    <row r="12" spans="2:10" x14ac:dyDescent="0.3">
      <c r="B12" s="2" t="s">
        <v>75</v>
      </c>
      <c r="C12" s="9">
        <f>-E61</f>
        <v>6678</v>
      </c>
      <c r="D12" s="9">
        <f>-F61</f>
        <v>7098.0499582506309</v>
      </c>
      <c r="E12" s="9">
        <f t="shared" ref="E12:H12" si="4">-G61</f>
        <v>8314.3574937375888</v>
      </c>
      <c r="F12" s="9">
        <f t="shared" si="4"/>
        <v>7967.925931498532</v>
      </c>
      <c r="G12" s="9">
        <f t="shared" si="4"/>
        <v>7529.6900052661076</v>
      </c>
      <c r="H12" s="9">
        <f t="shared" si="4"/>
        <v>7131.692104987771</v>
      </c>
    </row>
    <row r="13" spans="2:10" x14ac:dyDescent="0.3">
      <c r="B13" s="3" t="s">
        <v>10</v>
      </c>
      <c r="C13" s="11">
        <f t="shared" ref="C13:G13" si="5">C9+C10+C11+C12</f>
        <v>54385.021999999997</v>
      </c>
      <c r="D13" s="11">
        <f t="shared" si="5"/>
        <v>35573.625061856816</v>
      </c>
      <c r="E13" s="11">
        <f t="shared" si="5"/>
        <v>68275.788510638318</v>
      </c>
      <c r="F13" s="11">
        <f t="shared" si="5"/>
        <v>96384.439682861383</v>
      </c>
      <c r="G13" s="11">
        <f t="shared" si="5"/>
        <v>124761.61318886132</v>
      </c>
      <c r="H13" s="11">
        <f>H9+H10+H11+H12</f>
        <v>150465.68070624684</v>
      </c>
    </row>
    <row r="15" spans="2:10" x14ac:dyDescent="0.3">
      <c r="B15" s="66" t="s">
        <v>107</v>
      </c>
      <c r="C15" s="36"/>
      <c r="D15" s="36"/>
      <c r="E15" s="36"/>
      <c r="F15" s="36"/>
      <c r="G15" s="36"/>
      <c r="H15" s="36"/>
      <c r="I15" s="36"/>
      <c r="J15" s="37"/>
    </row>
    <row r="16" spans="2:10" x14ac:dyDescent="0.3">
      <c r="B16" s="41" t="s">
        <v>6</v>
      </c>
      <c r="C16" s="29" t="s">
        <v>44</v>
      </c>
      <c r="D16" s="29" t="s">
        <v>45</v>
      </c>
      <c r="E16" s="31" t="s">
        <v>46</v>
      </c>
      <c r="F16" s="31" t="s">
        <v>47</v>
      </c>
      <c r="G16" s="31" t="s">
        <v>48</v>
      </c>
      <c r="H16" s="31" t="s">
        <v>49</v>
      </c>
      <c r="I16" s="31" t="s">
        <v>50</v>
      </c>
      <c r="J16" s="42" t="s">
        <v>57</v>
      </c>
    </row>
    <row r="17" spans="2:10" x14ac:dyDescent="0.3">
      <c r="B17" s="43" t="s">
        <v>82</v>
      </c>
      <c r="C17" s="32">
        <f>Projections!D14</f>
        <v>109433</v>
      </c>
      <c r="D17" s="32">
        <f>Projections!E14</f>
        <v>128528</v>
      </c>
      <c r="E17" s="32">
        <f>Projections!F14</f>
        <v>155237</v>
      </c>
      <c r="F17" s="33">
        <f>Projections!G14</f>
        <v>187962.34944000002</v>
      </c>
      <c r="G17" s="33">
        <f>Projections!H14</f>
        <v>219733.80828899995</v>
      </c>
      <c r="H17" s="33">
        <f>Projections!I14</f>
        <v>250335.27775231318</v>
      </c>
      <c r="I17" s="33">
        <f>Projections!J14</f>
        <v>279623.34761497809</v>
      </c>
      <c r="J17" s="44">
        <f>Projections!K14</f>
        <v>307280.87186754588</v>
      </c>
    </row>
    <row r="18" spans="2:10" x14ac:dyDescent="0.3">
      <c r="B18" s="43" t="s">
        <v>85</v>
      </c>
      <c r="C18" s="69">
        <v>0.182</v>
      </c>
      <c r="D18" s="69">
        <v>0.17599999999999999</v>
      </c>
      <c r="E18" s="69">
        <v>0.19400000000000001</v>
      </c>
      <c r="F18" s="77">
        <v>0.19600000000000001</v>
      </c>
      <c r="G18" s="77">
        <v>0.19800000000000001</v>
      </c>
      <c r="H18" s="77">
        <v>0.2</v>
      </c>
      <c r="I18" s="77">
        <v>0.20100000000000001</v>
      </c>
      <c r="J18" s="79">
        <v>0.20199999999999999</v>
      </c>
    </row>
    <row r="19" spans="2:10" x14ac:dyDescent="0.3">
      <c r="B19" s="43" t="s">
        <v>76</v>
      </c>
      <c r="C19" s="32">
        <f>C18*C17</f>
        <v>19916.806</v>
      </c>
      <c r="D19" s="32">
        <f>D18*D17</f>
        <v>22620.928</v>
      </c>
      <c r="E19" s="32">
        <f>E18*E17</f>
        <v>30115.977999999999</v>
      </c>
      <c r="F19" s="33">
        <f>F17*F18</f>
        <v>36840.620490240006</v>
      </c>
      <c r="G19" s="33">
        <f>G17*G18</f>
        <v>43507.29404122199</v>
      </c>
      <c r="H19" s="33">
        <f>H17*H18</f>
        <v>50067.055550462639</v>
      </c>
      <c r="I19" s="33">
        <f>I17*I18</f>
        <v>56204.292870610603</v>
      </c>
      <c r="J19" s="44">
        <f>J17*J18</f>
        <v>62070.736117244262</v>
      </c>
    </row>
    <row r="20" spans="2:10" x14ac:dyDescent="0.3">
      <c r="B20" s="119" t="s">
        <v>77</v>
      </c>
      <c r="C20" s="120"/>
      <c r="D20" s="120"/>
      <c r="E20" s="120"/>
      <c r="F20" s="120"/>
      <c r="G20" s="120"/>
      <c r="H20" s="120"/>
      <c r="I20" s="120"/>
      <c r="J20" s="123"/>
    </row>
    <row r="21" spans="2:10" x14ac:dyDescent="0.3">
      <c r="B21" s="119"/>
      <c r="C21" s="120"/>
      <c r="D21" s="120"/>
      <c r="E21" s="120"/>
      <c r="F21" s="120"/>
      <c r="G21" s="120"/>
      <c r="H21" s="120"/>
      <c r="I21" s="120"/>
      <c r="J21" s="123"/>
    </row>
    <row r="22" spans="2:10" x14ac:dyDescent="0.3">
      <c r="B22" s="121"/>
      <c r="C22" s="122"/>
      <c r="D22" s="122"/>
      <c r="E22" s="122"/>
      <c r="F22" s="122"/>
      <c r="G22" s="122"/>
      <c r="H22" s="122"/>
      <c r="I22" s="122"/>
      <c r="J22" s="124"/>
    </row>
    <row r="24" spans="2:10" x14ac:dyDescent="0.3">
      <c r="B24" s="66" t="s">
        <v>108</v>
      </c>
      <c r="C24" s="36"/>
      <c r="D24" s="36"/>
      <c r="E24" s="36"/>
      <c r="F24" s="36"/>
      <c r="G24" s="36"/>
      <c r="H24" s="36"/>
      <c r="I24" s="36"/>
      <c r="J24" s="37"/>
    </row>
    <row r="25" spans="2:10" x14ac:dyDescent="0.3">
      <c r="B25" s="41" t="s">
        <v>6</v>
      </c>
      <c r="C25" s="29" t="s">
        <v>44</v>
      </c>
      <c r="D25" s="29" t="s">
        <v>45</v>
      </c>
      <c r="E25" s="31" t="s">
        <v>46</v>
      </c>
      <c r="F25" s="31" t="s">
        <v>47</v>
      </c>
      <c r="G25" s="31" t="s">
        <v>48</v>
      </c>
      <c r="H25" s="31" t="s">
        <v>49</v>
      </c>
      <c r="I25" s="31" t="s">
        <v>50</v>
      </c>
      <c r="J25" s="42" t="s">
        <v>57</v>
      </c>
    </row>
    <row r="26" spans="2:10" x14ac:dyDescent="0.3">
      <c r="B26" s="43" t="s">
        <v>83</v>
      </c>
      <c r="C26" s="32">
        <v>20958</v>
      </c>
      <c r="D26" s="32">
        <v>29433</v>
      </c>
      <c r="E26" s="32">
        <v>38534</v>
      </c>
      <c r="F26" s="33">
        <f>D35</f>
        <v>52353.846153846149</v>
      </c>
      <c r="G26" s="33">
        <f>D36</f>
        <v>72863.236429122713</v>
      </c>
      <c r="H26" s="33">
        <f>D37</f>
        <v>92305.558039637297</v>
      </c>
      <c r="I26" s="33">
        <f>D38</f>
        <v>111009.8571116252</v>
      </c>
      <c r="J26" s="44">
        <f>D39</f>
        <v>128766.90252312557</v>
      </c>
    </row>
    <row r="27" spans="2:10" x14ac:dyDescent="0.3">
      <c r="B27" s="43" t="s">
        <v>59</v>
      </c>
      <c r="C27" s="32">
        <f>Projections!$D$6</f>
        <v>245122</v>
      </c>
      <c r="D27" s="32">
        <f>Projections!$E$6</f>
        <v>281724</v>
      </c>
      <c r="E27" s="32">
        <f>Projections!$F$6</f>
        <v>331839</v>
      </c>
      <c r="F27" s="33">
        <f>Projections!$G$6</f>
        <v>391570.01999999996</v>
      </c>
      <c r="G27" s="33">
        <f>Projections!$H$6</f>
        <v>450305.52299999993</v>
      </c>
      <c r="H27" s="33">
        <f>Projections!$I$6</f>
        <v>506593.71337499993</v>
      </c>
      <c r="I27" s="33">
        <f>Projections!$J$6</f>
        <v>559786.05327937496</v>
      </c>
      <c r="J27" s="44">
        <f>Projections!$K$6</f>
        <v>610166.7980745188</v>
      </c>
    </row>
    <row r="28" spans="2:10" x14ac:dyDescent="0.3">
      <c r="B28" s="43" t="s">
        <v>64</v>
      </c>
      <c r="C28" s="69">
        <f>C26/C27</f>
        <v>8.5500281492481289E-2</v>
      </c>
      <c r="D28" s="69">
        <f t="shared" ref="D28:J28" si="6">D26/D27</f>
        <v>0.10447459215402309</v>
      </c>
      <c r="E28" s="69">
        <f t="shared" si="6"/>
        <v>0.11612257751499974</v>
      </c>
      <c r="F28" s="80">
        <f t="shared" si="6"/>
        <v>0.13370238649487556</v>
      </c>
      <c r="G28" s="80">
        <f t="shared" si="6"/>
        <v>0.16180844495021379</v>
      </c>
      <c r="H28" s="80">
        <f t="shared" si="6"/>
        <v>0.18220825802334664</v>
      </c>
      <c r="I28" s="80">
        <f t="shared" si="6"/>
        <v>0.19830765068422132</v>
      </c>
      <c r="J28" s="81">
        <f t="shared" si="6"/>
        <v>0.21103557736912365</v>
      </c>
    </row>
    <row r="29" spans="2:10" x14ac:dyDescent="0.3">
      <c r="B29" s="125" t="s">
        <v>93</v>
      </c>
      <c r="C29" s="126"/>
      <c r="D29" s="126"/>
      <c r="E29" s="126"/>
      <c r="F29" s="126"/>
      <c r="G29" s="126"/>
      <c r="H29" s="126"/>
      <c r="I29" s="126"/>
      <c r="J29" s="127"/>
    </row>
    <row r="30" spans="2:10" x14ac:dyDescent="0.3">
      <c r="B30" s="119"/>
      <c r="C30" s="120"/>
      <c r="D30" s="120"/>
      <c r="E30" s="120"/>
      <c r="F30" s="120"/>
      <c r="G30" s="120"/>
      <c r="H30" s="120"/>
      <c r="I30" s="120"/>
      <c r="J30" s="123"/>
    </row>
    <row r="31" spans="2:10" x14ac:dyDescent="0.3">
      <c r="B31" s="119"/>
      <c r="C31" s="120"/>
      <c r="D31" s="120"/>
      <c r="E31" s="120"/>
      <c r="F31" s="120"/>
      <c r="G31" s="120"/>
      <c r="H31" s="120"/>
      <c r="I31" s="120"/>
      <c r="J31" s="123"/>
    </row>
    <row r="32" spans="2:10" x14ac:dyDescent="0.3">
      <c r="B32" s="38"/>
      <c r="C32" s="39"/>
      <c r="D32" s="39"/>
      <c r="E32" s="39"/>
      <c r="F32" s="39"/>
      <c r="G32" s="39"/>
      <c r="H32" s="39"/>
      <c r="I32" s="39"/>
      <c r="J32" s="40"/>
    </row>
    <row r="33" spans="2:10" x14ac:dyDescent="0.3">
      <c r="B33" s="67" t="s">
        <v>111</v>
      </c>
      <c r="J33" s="47"/>
    </row>
    <row r="34" spans="2:10" x14ac:dyDescent="0.3">
      <c r="B34" s="51" t="s">
        <v>6</v>
      </c>
      <c r="C34" s="50" t="s">
        <v>79</v>
      </c>
      <c r="D34" s="50" t="s">
        <v>87</v>
      </c>
      <c r="E34" s="50" t="s">
        <v>80</v>
      </c>
      <c r="F34" s="50" t="s">
        <v>81</v>
      </c>
      <c r="J34" s="47"/>
    </row>
    <row r="35" spans="2:10" x14ac:dyDescent="0.3">
      <c r="B35" s="52" t="s">
        <v>47</v>
      </c>
      <c r="C35" s="32">
        <v>313076</v>
      </c>
      <c r="D35" s="33">
        <f>C35/5.98</f>
        <v>52353.846153846149</v>
      </c>
      <c r="E35" s="33">
        <f>$F$47</f>
        <v>175000</v>
      </c>
      <c r="F35" s="33">
        <f>C35-D35+E35</f>
        <v>435722.15384615387</v>
      </c>
      <c r="J35" s="47"/>
    </row>
    <row r="36" spans="2:10" x14ac:dyDescent="0.3">
      <c r="B36" s="52" t="s">
        <v>48</v>
      </c>
      <c r="C36" s="33">
        <f t="shared" ref="C36:C39" si="7">F35</f>
        <v>435722.15384615387</v>
      </c>
      <c r="D36" s="33">
        <f t="shared" ref="D36:D39" si="8">C36/5.98</f>
        <v>72863.236429122713</v>
      </c>
      <c r="E36" s="33">
        <f>$G$47</f>
        <v>189128.31965999995</v>
      </c>
      <c r="F36" s="33">
        <f t="shared" ref="F36:F39" si="9">C36-D36+E36</f>
        <v>551987.23707703105</v>
      </c>
      <c r="J36" s="47"/>
    </row>
    <row r="37" spans="2:10" x14ac:dyDescent="0.3">
      <c r="B37" s="52" t="s">
        <v>49</v>
      </c>
      <c r="C37" s="33">
        <f t="shared" si="7"/>
        <v>551987.23707703105</v>
      </c>
      <c r="D37" s="33">
        <f t="shared" si="8"/>
        <v>92305.558039637297</v>
      </c>
      <c r="E37" s="33">
        <f>$H$47</f>
        <v>204157.26649012498</v>
      </c>
      <c r="F37" s="33">
        <f t="shared" si="9"/>
        <v>663838.94552751875</v>
      </c>
      <c r="J37" s="47"/>
    </row>
    <row r="38" spans="2:10" x14ac:dyDescent="0.3">
      <c r="B38" s="52" t="s">
        <v>50</v>
      </c>
      <c r="C38" s="33">
        <f t="shared" si="7"/>
        <v>663838.94552751875</v>
      </c>
      <c r="D38" s="33">
        <f t="shared" si="8"/>
        <v>111009.8571116252</v>
      </c>
      <c r="E38" s="33">
        <f>$I$47</f>
        <v>217196.98867239748</v>
      </c>
      <c r="F38" s="33">
        <f t="shared" si="9"/>
        <v>770026.07708829094</v>
      </c>
      <c r="J38" s="47"/>
    </row>
    <row r="39" spans="2:10" x14ac:dyDescent="0.3">
      <c r="B39" s="52" t="s">
        <v>57</v>
      </c>
      <c r="C39" s="33">
        <f t="shared" si="7"/>
        <v>770026.07708829094</v>
      </c>
      <c r="D39" s="33">
        <f t="shared" si="8"/>
        <v>128766.90252312557</v>
      </c>
      <c r="E39" s="33">
        <f>$J$47</f>
        <v>230643.0496721681</v>
      </c>
      <c r="F39" s="33">
        <f t="shared" si="9"/>
        <v>871902.22423733352</v>
      </c>
      <c r="J39" s="47"/>
    </row>
    <row r="40" spans="2:10" ht="14.4" customHeight="1" x14ac:dyDescent="0.3">
      <c r="B40" s="119" t="s">
        <v>88</v>
      </c>
      <c r="C40" s="120"/>
      <c r="D40" s="120"/>
      <c r="E40" s="120"/>
      <c r="F40" s="120"/>
      <c r="J40" s="47"/>
    </row>
    <row r="41" spans="2:10" x14ac:dyDescent="0.3">
      <c r="B41" s="119"/>
      <c r="C41" s="120"/>
      <c r="D41" s="120"/>
      <c r="E41" s="120"/>
      <c r="F41" s="120"/>
      <c r="J41" s="47"/>
    </row>
    <row r="42" spans="2:10" x14ac:dyDescent="0.3">
      <c r="B42" s="121"/>
      <c r="C42" s="122"/>
      <c r="D42" s="122"/>
      <c r="E42" s="122"/>
      <c r="F42" s="122"/>
      <c r="G42" s="48"/>
      <c r="H42" s="48"/>
      <c r="I42" s="48"/>
      <c r="J42" s="49"/>
    </row>
    <row r="44" spans="2:10" x14ac:dyDescent="0.3">
      <c r="B44" s="2"/>
      <c r="C44" s="2"/>
      <c r="D44" s="2"/>
      <c r="E44" s="2"/>
      <c r="F44" s="2"/>
      <c r="G44" s="2"/>
      <c r="H44" s="2"/>
    </row>
    <row r="45" spans="2:10" x14ac:dyDescent="0.3">
      <c r="B45" s="66" t="s">
        <v>110</v>
      </c>
      <c r="C45" s="46"/>
      <c r="D45" s="46"/>
      <c r="E45" s="46"/>
      <c r="F45" s="46"/>
      <c r="G45" s="46"/>
      <c r="H45" s="46"/>
      <c r="I45" s="36"/>
      <c r="J45" s="37"/>
    </row>
    <row r="46" spans="2:10" x14ac:dyDescent="0.3">
      <c r="B46" s="41" t="s">
        <v>6</v>
      </c>
      <c r="C46" s="29" t="s">
        <v>44</v>
      </c>
      <c r="D46" s="29" t="s">
        <v>45</v>
      </c>
      <c r="E46" s="31" t="s">
        <v>46</v>
      </c>
      <c r="F46" s="31" t="s">
        <v>47</v>
      </c>
      <c r="G46" s="31" t="s">
        <v>48</v>
      </c>
      <c r="H46" s="31" t="s">
        <v>49</v>
      </c>
      <c r="I46" s="31" t="s">
        <v>50</v>
      </c>
      <c r="J46" s="42" t="s">
        <v>57</v>
      </c>
    </row>
    <row r="47" spans="2:10" x14ac:dyDescent="0.3">
      <c r="B47" s="43" t="s">
        <v>84</v>
      </c>
      <c r="C47" s="32">
        <v>44477</v>
      </c>
      <c r="D47" s="32">
        <v>64551</v>
      </c>
      <c r="E47" s="32">
        <v>115948</v>
      </c>
      <c r="F47" s="53">
        <v>175000</v>
      </c>
      <c r="G47" s="33">
        <f>G48*G49</f>
        <v>189128.31965999995</v>
      </c>
      <c r="H47" s="33">
        <f t="shared" ref="H47:J47" si="10">H48*H49</f>
        <v>204157.26649012498</v>
      </c>
      <c r="I47" s="33">
        <f t="shared" si="10"/>
        <v>217196.98867239748</v>
      </c>
      <c r="J47" s="44">
        <f t="shared" si="10"/>
        <v>230643.0496721681</v>
      </c>
    </row>
    <row r="48" spans="2:10" x14ac:dyDescent="0.3">
      <c r="B48" s="43" t="s">
        <v>59</v>
      </c>
      <c r="C48" s="32">
        <f>Projections!$D$6</f>
        <v>245122</v>
      </c>
      <c r="D48" s="32">
        <f>Projections!$E$6</f>
        <v>281724</v>
      </c>
      <c r="E48" s="32">
        <f>Projections!$F$6</f>
        <v>331839</v>
      </c>
      <c r="F48" s="33">
        <f>Projections!$G$6</f>
        <v>391570.01999999996</v>
      </c>
      <c r="G48" s="33">
        <f>Projections!$H$6</f>
        <v>450305.52299999993</v>
      </c>
      <c r="H48" s="33">
        <f>Projections!$I$6</f>
        <v>506593.71337499993</v>
      </c>
      <c r="I48" s="33">
        <f>Projections!$J$6</f>
        <v>559786.05327937496</v>
      </c>
      <c r="J48" s="44">
        <f>Projections!$K$6</f>
        <v>610166.7980745188</v>
      </c>
    </row>
    <row r="49" spans="2:10" x14ac:dyDescent="0.3">
      <c r="B49" s="43" t="s">
        <v>78</v>
      </c>
      <c r="C49" s="69">
        <f>C47/C48</f>
        <v>0.18144842160230415</v>
      </c>
      <c r="D49" s="69">
        <f t="shared" ref="D49:F49" si="11">D47/D48</f>
        <v>0.22912850875324786</v>
      </c>
      <c r="E49" s="69">
        <f t="shared" si="11"/>
        <v>0.34941040685392616</v>
      </c>
      <c r="F49" s="80">
        <f t="shared" si="11"/>
        <v>0.44691879117813976</v>
      </c>
      <c r="G49" s="77">
        <v>0.42</v>
      </c>
      <c r="H49" s="77">
        <v>0.40300000000000002</v>
      </c>
      <c r="I49" s="77">
        <v>0.38800000000000001</v>
      </c>
      <c r="J49" s="79">
        <v>0.378</v>
      </c>
    </row>
    <row r="50" spans="2:10" x14ac:dyDescent="0.3">
      <c r="B50" s="119" t="s">
        <v>86</v>
      </c>
      <c r="C50" s="120"/>
      <c r="D50" s="120"/>
      <c r="E50" s="120"/>
      <c r="F50" s="120"/>
      <c r="G50" s="120"/>
      <c r="H50" s="120"/>
      <c r="I50" s="120"/>
      <c r="J50" s="123"/>
    </row>
    <row r="51" spans="2:10" x14ac:dyDescent="0.3">
      <c r="B51" s="119"/>
      <c r="C51" s="120"/>
      <c r="D51" s="120"/>
      <c r="E51" s="120"/>
      <c r="F51" s="120"/>
      <c r="G51" s="120"/>
      <c r="H51" s="120"/>
      <c r="I51" s="120"/>
      <c r="J51" s="123"/>
    </row>
    <row r="52" spans="2:10" x14ac:dyDescent="0.3">
      <c r="B52" s="121"/>
      <c r="C52" s="122"/>
      <c r="D52" s="122"/>
      <c r="E52" s="122"/>
      <c r="F52" s="122"/>
      <c r="G52" s="122"/>
      <c r="H52" s="122"/>
      <c r="I52" s="122"/>
      <c r="J52" s="124"/>
    </row>
    <row r="53" spans="2:10" x14ac:dyDescent="0.3">
      <c r="B53" s="2"/>
      <c r="C53" s="2"/>
      <c r="D53" s="2"/>
      <c r="E53" s="2"/>
      <c r="F53" s="2"/>
      <c r="G53" s="2"/>
      <c r="H53" s="2"/>
    </row>
    <row r="54" spans="2:10" x14ac:dyDescent="0.3">
      <c r="B54" s="66" t="s">
        <v>109</v>
      </c>
      <c r="C54" s="46"/>
      <c r="D54" s="46"/>
      <c r="E54" s="46"/>
      <c r="F54" s="46"/>
      <c r="G54" s="46"/>
      <c r="H54" s="46"/>
      <c r="I54" s="36"/>
      <c r="J54" s="37"/>
    </row>
    <row r="55" spans="2:10" x14ac:dyDescent="0.3">
      <c r="B55" s="41" t="s">
        <v>6</v>
      </c>
      <c r="C55" s="29" t="s">
        <v>44</v>
      </c>
      <c r="D55" s="30" t="s">
        <v>45</v>
      </c>
      <c r="E55" s="31" t="s">
        <v>46</v>
      </c>
      <c r="F55" s="31" t="s">
        <v>47</v>
      </c>
      <c r="G55" s="31" t="s">
        <v>48</v>
      </c>
      <c r="H55" s="31" t="s">
        <v>49</v>
      </c>
      <c r="I55" s="31" t="s">
        <v>50</v>
      </c>
      <c r="J55" s="42" t="s">
        <v>57</v>
      </c>
    </row>
    <row r="56" spans="2:10" x14ac:dyDescent="0.3">
      <c r="B56" s="43" t="s">
        <v>59</v>
      </c>
      <c r="C56" s="32">
        <f>Projections!$D$6</f>
        <v>245122</v>
      </c>
      <c r="D56" s="32">
        <f>Projections!$E$6</f>
        <v>281724</v>
      </c>
      <c r="E56" s="32">
        <f>Projections!$F$6</f>
        <v>331839</v>
      </c>
      <c r="F56" s="33">
        <f>Projections!$G$6</f>
        <v>391570.01999999996</v>
      </c>
      <c r="G56" s="33">
        <f>Projections!$H$6</f>
        <v>450305.52299999993</v>
      </c>
      <c r="H56" s="33">
        <f>Projections!$I$6</f>
        <v>506593.71337499993</v>
      </c>
      <c r="I56" s="33">
        <f>Projections!$J$6</f>
        <v>559786.05327937496</v>
      </c>
      <c r="J56" s="44">
        <f>Projections!$K$6</f>
        <v>610166.7980745188</v>
      </c>
    </row>
    <row r="57" spans="2:10" x14ac:dyDescent="0.3">
      <c r="B57" s="43" t="s">
        <v>60</v>
      </c>
      <c r="C57" s="32">
        <f>(159734-75543)-(125286-6693-2249)</f>
        <v>-32153</v>
      </c>
      <c r="D57" s="32">
        <f>(191131-94565)-(141218-2999)</f>
        <v>-41653</v>
      </c>
      <c r="E57" s="32">
        <f>(207710-76843-19600)-(168825-9227)</f>
        <v>-48331</v>
      </c>
      <c r="F57" s="33"/>
      <c r="G57" s="33"/>
      <c r="H57" s="33"/>
      <c r="I57" s="33"/>
      <c r="J57" s="45"/>
    </row>
    <row r="58" spans="2:10" x14ac:dyDescent="0.3">
      <c r="B58" s="43" t="s">
        <v>61</v>
      </c>
      <c r="C58" s="69">
        <f>C57/C56</f>
        <v>-0.13117141668230514</v>
      </c>
      <c r="D58" s="69">
        <f t="shared" ref="D58:E58" si="12">D57/D56</f>
        <v>-0.14785037838451817</v>
      </c>
      <c r="E58" s="69">
        <f t="shared" si="12"/>
        <v>-0.14564593070736109</v>
      </c>
      <c r="F58" s="80">
        <f>E59</f>
        <v>-0.1415559085913948</v>
      </c>
      <c r="G58" s="80">
        <f>E59</f>
        <v>-0.1415559085913948</v>
      </c>
      <c r="H58" s="80">
        <f>E59</f>
        <v>-0.1415559085913948</v>
      </c>
      <c r="I58" s="80">
        <f>E59</f>
        <v>-0.1415559085913948</v>
      </c>
      <c r="J58" s="81">
        <f>E59</f>
        <v>-0.1415559085913948</v>
      </c>
    </row>
    <row r="59" spans="2:10" x14ac:dyDescent="0.3">
      <c r="B59" s="43" t="s">
        <v>62</v>
      </c>
      <c r="C59" s="82"/>
      <c r="D59" s="82"/>
      <c r="E59" s="69">
        <f>AVERAGE(C58,D58,E58)</f>
        <v>-0.1415559085913948</v>
      </c>
      <c r="F59" s="80"/>
      <c r="G59" s="83"/>
      <c r="H59" s="83"/>
      <c r="I59" s="80"/>
      <c r="J59" s="84"/>
    </row>
    <row r="60" spans="2:10" x14ac:dyDescent="0.3">
      <c r="B60" s="43" t="s">
        <v>63</v>
      </c>
      <c r="C60" s="34"/>
      <c r="D60" s="34"/>
      <c r="E60" s="34"/>
      <c r="F60" s="33">
        <f>F56*F58</f>
        <v>-55429.049958250631</v>
      </c>
      <c r="G60" s="33">
        <f t="shared" ref="G60:J60" si="13">G56*G58</f>
        <v>-63743.40745198822</v>
      </c>
      <c r="H60" s="33">
        <f t="shared" si="13"/>
        <v>-71711.333383486752</v>
      </c>
      <c r="I60" s="33">
        <f t="shared" si="13"/>
        <v>-79241.023388752859</v>
      </c>
      <c r="J60" s="44">
        <f t="shared" si="13"/>
        <v>-86372.71549374063</v>
      </c>
    </row>
    <row r="61" spans="2:10" x14ac:dyDescent="0.3">
      <c r="B61" s="43" t="s">
        <v>72</v>
      </c>
      <c r="C61" s="35" t="s">
        <v>42</v>
      </c>
      <c r="D61" s="32">
        <f>D57-C57</f>
        <v>-9500</v>
      </c>
      <c r="E61" s="32">
        <f>E57-D57</f>
        <v>-6678</v>
      </c>
      <c r="F61" s="33">
        <f>F60-E57</f>
        <v>-7098.0499582506309</v>
      </c>
      <c r="G61" s="33">
        <f>G60-F60</f>
        <v>-8314.3574937375888</v>
      </c>
      <c r="H61" s="33">
        <f t="shared" ref="H61:J61" si="14">H60-G60</f>
        <v>-7967.925931498532</v>
      </c>
      <c r="I61" s="33">
        <f t="shared" si="14"/>
        <v>-7529.6900052661076</v>
      </c>
      <c r="J61" s="44">
        <f t="shared" si="14"/>
        <v>-7131.692104987771</v>
      </c>
    </row>
    <row r="62" spans="2:10" ht="14.4" customHeight="1" x14ac:dyDescent="0.3">
      <c r="B62" s="119" t="s">
        <v>94</v>
      </c>
      <c r="C62" s="120"/>
      <c r="D62" s="120"/>
      <c r="E62" s="120"/>
      <c r="F62" s="120"/>
      <c r="G62" s="120"/>
      <c r="H62" s="120"/>
      <c r="I62" s="120"/>
      <c r="J62" s="123"/>
    </row>
    <row r="63" spans="2:10" ht="17.399999999999999" customHeight="1" x14ac:dyDescent="0.3">
      <c r="B63" s="121"/>
      <c r="C63" s="122"/>
      <c r="D63" s="122"/>
      <c r="E63" s="122"/>
      <c r="F63" s="122"/>
      <c r="G63" s="122"/>
      <c r="H63" s="122"/>
      <c r="I63" s="122"/>
      <c r="J63" s="124"/>
    </row>
  </sheetData>
  <mergeCells count="5">
    <mergeCell ref="B40:F42"/>
    <mergeCell ref="B50:J52"/>
    <mergeCell ref="B29:J31"/>
    <mergeCell ref="B62:J63"/>
    <mergeCell ref="B20:J2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53"/>
  <sheetViews>
    <sheetView showGridLines="0" zoomScale="70" zoomScaleNormal="70" workbookViewId="0">
      <selection activeCell="K26" sqref="K26"/>
    </sheetView>
  </sheetViews>
  <sheetFormatPr defaultColWidth="8.6640625" defaultRowHeight="14.4" x14ac:dyDescent="0.3"/>
  <cols>
    <col min="1" max="1" width="3" customWidth="1"/>
    <col min="2" max="2" width="52.109375" customWidth="1"/>
    <col min="3" max="6" width="21.5546875" customWidth="1"/>
    <col min="7" max="7" width="11.33203125" customWidth="1"/>
  </cols>
  <sheetData>
    <row r="2" spans="2:7" ht="17.399999999999999" x14ac:dyDescent="0.3">
      <c r="B2" s="1" t="s">
        <v>11</v>
      </c>
    </row>
    <row r="4" spans="2:7" x14ac:dyDescent="0.3">
      <c r="B4" s="66" t="s">
        <v>15</v>
      </c>
      <c r="C4" s="36"/>
      <c r="D4" s="36"/>
      <c r="E4" s="36"/>
      <c r="F4" s="36"/>
      <c r="G4" s="37"/>
    </row>
    <row r="5" spans="2:7" x14ac:dyDescent="0.3">
      <c r="B5" s="61" t="s">
        <v>149</v>
      </c>
      <c r="C5" s="56" t="s">
        <v>96</v>
      </c>
      <c r="D5" s="56" t="s">
        <v>169</v>
      </c>
      <c r="E5" s="56" t="s">
        <v>98</v>
      </c>
      <c r="G5" s="47"/>
    </row>
    <row r="6" spans="2:7" x14ac:dyDescent="0.3">
      <c r="B6" s="43" t="s">
        <v>159</v>
      </c>
      <c r="C6" s="34"/>
      <c r="D6" s="34"/>
      <c r="E6" s="58">
        <v>7427000000</v>
      </c>
      <c r="F6" s="6" t="s">
        <v>160</v>
      </c>
      <c r="G6" s="47"/>
    </row>
    <row r="7" spans="2:7" x14ac:dyDescent="0.3">
      <c r="B7" s="43" t="s">
        <v>162</v>
      </c>
      <c r="C7" s="57"/>
      <c r="D7" s="57"/>
      <c r="E7" s="60">
        <v>373.02</v>
      </c>
      <c r="F7" s="62" t="s">
        <v>104</v>
      </c>
      <c r="G7" s="47"/>
    </row>
    <row r="8" spans="2:7" x14ac:dyDescent="0.3">
      <c r="B8" s="88" t="s">
        <v>105</v>
      </c>
      <c r="C8" s="32">
        <v>36500</v>
      </c>
      <c r="D8" s="32">
        <v>66594</v>
      </c>
      <c r="E8" s="32">
        <f>E7*E6/1000000</f>
        <v>2770419.54</v>
      </c>
      <c r="G8" s="47"/>
    </row>
    <row r="9" spans="2:7" x14ac:dyDescent="0.3">
      <c r="B9" s="88" t="s">
        <v>99</v>
      </c>
      <c r="C9" s="69">
        <f>C8/SUM($C$8:$E$8)</f>
        <v>1.270221959698857E-2</v>
      </c>
      <c r="D9" s="69">
        <f t="shared" ref="D9:E9" si="0">D8/SUM($C$8:$E$8)</f>
        <v>2.3175112653201557E-2</v>
      </c>
      <c r="E9" s="69">
        <f t="shared" si="0"/>
        <v>0.96412266774980993</v>
      </c>
      <c r="G9" s="47"/>
    </row>
    <row r="10" spans="2:7" ht="14.4" customHeight="1" x14ac:dyDescent="0.3">
      <c r="B10" s="128" t="s">
        <v>106</v>
      </c>
      <c r="C10" s="129"/>
      <c r="D10" s="129"/>
      <c r="E10" s="130"/>
      <c r="G10" s="47"/>
    </row>
    <row r="11" spans="2:7" ht="14.4" customHeight="1" x14ac:dyDescent="0.3">
      <c r="B11" s="128"/>
      <c r="C11" s="129"/>
      <c r="D11" s="129"/>
      <c r="E11" s="130"/>
      <c r="G11" s="47"/>
    </row>
    <row r="12" spans="2:7" x14ac:dyDescent="0.3">
      <c r="B12" s="131"/>
      <c r="C12" s="132"/>
      <c r="D12" s="132"/>
      <c r="E12" s="133"/>
      <c r="F12" s="48"/>
      <c r="G12" s="49"/>
    </row>
    <row r="14" spans="2:7" x14ac:dyDescent="0.3">
      <c r="B14" s="66" t="s">
        <v>115</v>
      </c>
      <c r="C14" s="36"/>
      <c r="D14" s="36"/>
      <c r="E14" s="36"/>
      <c r="F14" s="36"/>
      <c r="G14" s="37"/>
    </row>
    <row r="15" spans="2:7" x14ac:dyDescent="0.3">
      <c r="B15" s="89" t="s">
        <v>100</v>
      </c>
      <c r="C15" s="73">
        <v>4.718E-2</v>
      </c>
      <c r="D15" s="62" t="s">
        <v>5</v>
      </c>
      <c r="G15" s="47"/>
    </row>
    <row r="16" spans="2:7" x14ac:dyDescent="0.3">
      <c r="B16" s="86" t="s">
        <v>113</v>
      </c>
      <c r="C16" s="68">
        <v>1.1299999999999999</v>
      </c>
      <c r="D16" s="62" t="s">
        <v>101</v>
      </c>
      <c r="G16" s="47"/>
    </row>
    <row r="17" spans="2:7" x14ac:dyDescent="0.3">
      <c r="B17" s="86" t="s">
        <v>112</v>
      </c>
      <c r="C17" s="73">
        <v>4.4200000000000003E-2</v>
      </c>
      <c r="D17" s="62" t="s">
        <v>153</v>
      </c>
      <c r="G17" s="47"/>
    </row>
    <row r="18" spans="2:7" x14ac:dyDescent="0.3">
      <c r="B18" s="90" t="s">
        <v>114</v>
      </c>
      <c r="C18" s="91">
        <f>C15+C16*C17</f>
        <v>9.712599999999999E-2</v>
      </c>
      <c r="D18" s="48"/>
      <c r="E18" s="48"/>
      <c r="F18" s="48"/>
      <c r="G18" s="49"/>
    </row>
    <row r="20" spans="2:7" x14ac:dyDescent="0.3">
      <c r="B20" s="66" t="s">
        <v>116</v>
      </c>
      <c r="C20" s="36"/>
      <c r="D20" s="36"/>
      <c r="E20" s="36"/>
      <c r="F20" s="36"/>
      <c r="G20" s="37"/>
    </row>
    <row r="21" spans="2:7" ht="26.4" x14ac:dyDescent="0.3">
      <c r="B21" s="94" t="s">
        <v>118</v>
      </c>
      <c r="C21" s="92" t="s">
        <v>119</v>
      </c>
      <c r="D21" s="92" t="s">
        <v>143</v>
      </c>
      <c r="E21" s="92" t="s">
        <v>154</v>
      </c>
      <c r="F21" s="92" t="s">
        <v>144</v>
      </c>
      <c r="G21" s="47"/>
    </row>
    <row r="22" spans="2:7" x14ac:dyDescent="0.3">
      <c r="B22" s="95" t="s">
        <v>120</v>
      </c>
      <c r="C22" s="69">
        <v>5.2400000000000002E-2</v>
      </c>
      <c r="D22" s="69">
        <v>5.2400000000000002E-2</v>
      </c>
      <c r="E22" s="32">
        <v>520</v>
      </c>
      <c r="F22" s="34">
        <f>E22*D22</f>
        <v>27.248000000000001</v>
      </c>
      <c r="G22" s="47"/>
    </row>
    <row r="23" spans="2:7" x14ac:dyDescent="0.3">
      <c r="B23" s="95" t="s">
        <v>121</v>
      </c>
      <c r="C23" s="69">
        <v>4.5699999999999998E-2</v>
      </c>
      <c r="D23" s="69">
        <v>4.5699999999999998E-2</v>
      </c>
      <c r="E23" s="32">
        <v>486</v>
      </c>
      <c r="F23" s="34">
        <f t="shared" ref="F23:F34" si="1">E23*D23</f>
        <v>22.2102</v>
      </c>
      <c r="G23" s="47"/>
    </row>
    <row r="24" spans="2:7" x14ac:dyDescent="0.3">
      <c r="B24" s="95" t="s">
        <v>122</v>
      </c>
      <c r="C24" s="69">
        <v>5.3600000000000002E-2</v>
      </c>
      <c r="D24" s="69">
        <v>5.3600000000000002E-2</v>
      </c>
      <c r="E24" s="32">
        <v>718</v>
      </c>
      <c r="F24" s="34">
        <f t="shared" si="1"/>
        <v>38.4848</v>
      </c>
      <c r="G24" s="47"/>
    </row>
    <row r="25" spans="2:7" x14ac:dyDescent="0.3">
      <c r="B25" s="95" t="s">
        <v>123</v>
      </c>
      <c r="C25" s="69">
        <v>3.5700000000000003E-2</v>
      </c>
      <c r="D25" s="69">
        <v>3.5700000000000003E-2</v>
      </c>
      <c r="E25" s="32">
        <v>454</v>
      </c>
      <c r="F25" s="34">
        <f t="shared" si="1"/>
        <v>16.207800000000002</v>
      </c>
      <c r="G25" s="47"/>
    </row>
    <row r="26" spans="2:7" x14ac:dyDescent="0.3">
      <c r="B26" s="95" t="s">
        <v>124</v>
      </c>
      <c r="C26" s="71" t="s">
        <v>125</v>
      </c>
      <c r="D26" s="69">
        <f>AVERAGE(VALUE(LEFT(C26, FIND("–", C26)-1)), VALUE(MID(C26, FIND("–", C26)+1, LEN(C26))))</f>
        <v>4.3749999999999997E-2</v>
      </c>
      <c r="E26" s="32">
        <v>314</v>
      </c>
      <c r="F26" s="34">
        <f t="shared" si="1"/>
        <v>13.737499999999999</v>
      </c>
      <c r="G26" s="47"/>
    </row>
    <row r="27" spans="2:7" x14ac:dyDescent="0.3">
      <c r="B27" s="95" t="s">
        <v>126</v>
      </c>
      <c r="C27" s="71" t="s">
        <v>127</v>
      </c>
      <c r="D27" s="69">
        <f t="shared" ref="D27:D34" si="2">AVERAGE(VALUE(LEFT(C27, FIND("–", C27)-1)), VALUE(MID(C27, FIND("–", C27)+1, LEN(C27))))</f>
        <v>2.955E-2</v>
      </c>
      <c r="E27" s="32">
        <v>2630</v>
      </c>
      <c r="F27" s="34">
        <f t="shared" si="1"/>
        <v>77.716499999999996</v>
      </c>
      <c r="G27" s="47"/>
    </row>
    <row r="28" spans="2:7" x14ac:dyDescent="0.3">
      <c r="B28" s="95" t="s">
        <v>128</v>
      </c>
      <c r="C28" s="71" t="s">
        <v>129</v>
      </c>
      <c r="D28" s="69">
        <f t="shared" si="2"/>
        <v>4.19E-2</v>
      </c>
      <c r="E28" s="32">
        <v>4555</v>
      </c>
      <c r="F28" s="34">
        <f t="shared" si="1"/>
        <v>190.8545</v>
      </c>
      <c r="G28" s="47"/>
    </row>
    <row r="29" spans="2:7" x14ac:dyDescent="0.3">
      <c r="B29" s="95" t="s">
        <v>130</v>
      </c>
      <c r="C29" s="71" t="s">
        <v>131</v>
      </c>
      <c r="D29" s="69">
        <f t="shared" si="2"/>
        <v>3.245E-2</v>
      </c>
      <c r="E29" s="32">
        <v>7930</v>
      </c>
      <c r="F29" s="34">
        <f t="shared" si="1"/>
        <v>257.32850000000002</v>
      </c>
      <c r="G29" s="47"/>
    </row>
    <row r="30" spans="2:7" x14ac:dyDescent="0.3">
      <c r="B30" s="95" t="s">
        <v>132</v>
      </c>
      <c r="C30" s="71" t="s">
        <v>133</v>
      </c>
      <c r="D30" s="69">
        <f t="shared" si="2"/>
        <v>4.4350000000000001E-2</v>
      </c>
      <c r="E30" s="32">
        <v>6833</v>
      </c>
      <c r="F30" s="34">
        <f t="shared" si="1"/>
        <v>303.04354999999998</v>
      </c>
      <c r="G30" s="47"/>
    </row>
    <row r="31" spans="2:7" x14ac:dyDescent="0.3">
      <c r="B31" s="95" t="s">
        <v>134</v>
      </c>
      <c r="C31" s="71" t="s">
        <v>135</v>
      </c>
      <c r="D31" s="69">
        <f t="shared" si="2"/>
        <v>3.9800000000000002E-2</v>
      </c>
      <c r="E31" s="32">
        <v>10111</v>
      </c>
      <c r="F31" s="34">
        <f t="shared" si="1"/>
        <v>402.4178</v>
      </c>
      <c r="G31" s="47"/>
    </row>
    <row r="32" spans="2:7" x14ac:dyDescent="0.3">
      <c r="B32" s="95" t="s">
        <v>136</v>
      </c>
      <c r="C32" s="71" t="s">
        <v>137</v>
      </c>
      <c r="D32" s="69">
        <f t="shared" si="2"/>
        <v>2.98E-2</v>
      </c>
      <c r="E32" s="32">
        <v>8185</v>
      </c>
      <c r="F32" s="34">
        <f t="shared" si="1"/>
        <v>243.91300000000001</v>
      </c>
      <c r="G32" s="47"/>
    </row>
    <row r="33" spans="2:7" x14ac:dyDescent="0.3">
      <c r="B33" s="95" t="s">
        <v>138</v>
      </c>
      <c r="C33" s="71" t="s">
        <v>139</v>
      </c>
      <c r="D33" s="69">
        <f t="shared" si="2"/>
        <v>5.3249999999999999E-2</v>
      </c>
      <c r="E33" s="32">
        <v>56</v>
      </c>
      <c r="F33" s="34">
        <f t="shared" si="1"/>
        <v>2.9819999999999998</v>
      </c>
      <c r="G33" s="47"/>
    </row>
    <row r="34" spans="2:7" x14ac:dyDescent="0.3">
      <c r="B34" s="95" t="s">
        <v>140</v>
      </c>
      <c r="C34" s="71" t="s">
        <v>139</v>
      </c>
      <c r="D34" s="69">
        <f t="shared" si="2"/>
        <v>5.3249999999999999E-2</v>
      </c>
      <c r="E34" s="32">
        <v>3344</v>
      </c>
      <c r="F34" s="34">
        <f t="shared" si="1"/>
        <v>178.06799999999998</v>
      </c>
      <c r="G34" s="47"/>
    </row>
    <row r="35" spans="2:7" x14ac:dyDescent="0.3">
      <c r="B35" s="96" t="s">
        <v>142</v>
      </c>
      <c r="C35" s="93"/>
      <c r="D35" s="93"/>
      <c r="E35" s="70">
        <f>SUM(E22:E34)</f>
        <v>46136</v>
      </c>
      <c r="F35" s="70">
        <f>SUM(F22:F34)</f>
        <v>1774.2121500000001</v>
      </c>
      <c r="G35" s="47"/>
    </row>
    <row r="36" spans="2:7" x14ac:dyDescent="0.3">
      <c r="B36" s="85"/>
      <c r="C36" s="72"/>
      <c r="D36" s="72"/>
      <c r="E36" s="9"/>
      <c r="G36" s="47"/>
    </row>
    <row r="37" spans="2:7" x14ac:dyDescent="0.3">
      <c r="B37" s="86" t="s">
        <v>145</v>
      </c>
      <c r="C37" s="69">
        <f>F35/E35</f>
        <v>3.8456132954742504E-2</v>
      </c>
      <c r="G37" s="47"/>
    </row>
    <row r="38" spans="2:7" x14ac:dyDescent="0.3">
      <c r="B38" s="86" t="s">
        <v>13</v>
      </c>
      <c r="C38" s="73">
        <v>0.21</v>
      </c>
      <c r="D38" s="62" t="s">
        <v>155</v>
      </c>
      <c r="G38" s="47"/>
    </row>
    <row r="39" spans="2:7" x14ac:dyDescent="0.3">
      <c r="B39" s="87" t="s">
        <v>146</v>
      </c>
      <c r="C39" s="74">
        <f>C37*(1-C38)</f>
        <v>3.0380345034246581E-2</v>
      </c>
      <c r="G39" s="47"/>
    </row>
    <row r="40" spans="2:7" ht="14.4" customHeight="1" x14ac:dyDescent="0.3">
      <c r="B40" s="119" t="s">
        <v>141</v>
      </c>
      <c r="C40" s="120"/>
      <c r="D40" s="120"/>
      <c r="E40" s="120"/>
      <c r="F40" s="120"/>
      <c r="G40" s="123"/>
    </row>
    <row r="41" spans="2:7" ht="14.4" customHeight="1" x14ac:dyDescent="0.3">
      <c r="B41" s="119"/>
      <c r="C41" s="120"/>
      <c r="D41" s="120"/>
      <c r="E41" s="120"/>
      <c r="F41" s="120"/>
      <c r="G41" s="123"/>
    </row>
    <row r="42" spans="2:7" x14ac:dyDescent="0.3">
      <c r="B42" s="121"/>
      <c r="C42" s="122"/>
      <c r="D42" s="122"/>
      <c r="E42" s="122"/>
      <c r="F42" s="122"/>
      <c r="G42" s="124"/>
    </row>
    <row r="44" spans="2:7" x14ac:dyDescent="0.3">
      <c r="B44" s="66" t="s">
        <v>117</v>
      </c>
      <c r="C44" s="97"/>
      <c r="D44" s="36"/>
      <c r="E44" s="36"/>
      <c r="F44" s="36"/>
      <c r="G44" s="37"/>
    </row>
    <row r="45" spans="2:7" x14ac:dyDescent="0.3">
      <c r="B45" s="86" t="s">
        <v>12</v>
      </c>
      <c r="C45" s="69">
        <v>4.4999999999999998E-2</v>
      </c>
      <c r="D45" t="s">
        <v>147</v>
      </c>
      <c r="G45" s="47"/>
    </row>
    <row r="46" spans="2:7" x14ac:dyDescent="0.3">
      <c r="B46" s="86" t="s">
        <v>13</v>
      </c>
      <c r="C46" s="73">
        <v>0.21</v>
      </c>
      <c r="D46" s="62" t="s">
        <v>155</v>
      </c>
      <c r="G46" s="47"/>
    </row>
    <row r="47" spans="2:7" x14ac:dyDescent="0.3">
      <c r="B47" s="90" t="s">
        <v>14</v>
      </c>
      <c r="C47" s="91">
        <f>C45*(1-C46)</f>
        <v>3.5549999999999998E-2</v>
      </c>
      <c r="D47" s="48"/>
      <c r="E47" s="48"/>
      <c r="F47" s="48"/>
      <c r="G47" s="49"/>
    </row>
    <row r="49" spans="2:7" x14ac:dyDescent="0.3">
      <c r="B49" s="3" t="s">
        <v>148</v>
      </c>
      <c r="C49" s="4"/>
    </row>
    <row r="50" spans="2:7" x14ac:dyDescent="0.3">
      <c r="B50" s="98" t="s">
        <v>95</v>
      </c>
      <c r="C50" s="99" t="s">
        <v>96</v>
      </c>
      <c r="D50" s="99" t="s">
        <v>97</v>
      </c>
      <c r="E50" s="99" t="s">
        <v>98</v>
      </c>
      <c r="F50" s="36"/>
      <c r="G50" s="37"/>
    </row>
    <row r="51" spans="2:7" x14ac:dyDescent="0.3">
      <c r="B51" s="43" t="s">
        <v>151</v>
      </c>
      <c r="C51" s="69">
        <f>C9</f>
        <v>1.270221959698857E-2</v>
      </c>
      <c r="D51" s="100">
        <f t="shared" ref="D51:E51" si="3">D9</f>
        <v>2.3175112653201557E-2</v>
      </c>
      <c r="E51" s="69">
        <f t="shared" si="3"/>
        <v>0.96412266774980993</v>
      </c>
      <c r="F51" s="62"/>
      <c r="G51" s="47"/>
    </row>
    <row r="52" spans="2:7" x14ac:dyDescent="0.3">
      <c r="B52" s="43" t="s">
        <v>150</v>
      </c>
      <c r="C52" s="69">
        <f>C39</f>
        <v>3.0380345034246581E-2</v>
      </c>
      <c r="D52" s="100">
        <f>C47</f>
        <v>3.5549999999999998E-2</v>
      </c>
      <c r="E52" s="69">
        <f>C18</f>
        <v>9.712599999999999E-2</v>
      </c>
      <c r="F52" s="62"/>
      <c r="G52" s="47"/>
    </row>
    <row r="53" spans="2:7" x14ac:dyDescent="0.3">
      <c r="B53" s="112" t="s">
        <v>152</v>
      </c>
      <c r="C53" s="113">
        <f>(C51*C52)+(D51*D52)+(E51*E52)</f>
        <v>9.4851151296746622E-2</v>
      </c>
      <c r="D53" s="48"/>
      <c r="E53" s="48"/>
      <c r="F53" s="48"/>
      <c r="G53" s="49"/>
    </row>
  </sheetData>
  <mergeCells count="2">
    <mergeCell ref="B10:E12"/>
    <mergeCell ref="B40:G42"/>
  </mergeCells>
  <hyperlinks>
    <hyperlink ref="F7" r:id="rId1" display="5yr monthly beta, Yahoo Finance" xr:uid="{A3E24E27-814C-477E-BB4D-ED11F22F39DB}"/>
    <hyperlink ref="D15" r:id="rId2" xr:uid="{9C914FBF-489D-4364-AE6B-D105DBC44A80}"/>
    <hyperlink ref="D16" r:id="rId3" xr:uid="{2A238EA2-EB92-40EE-8209-B6AFD3D9135A}"/>
    <hyperlink ref="D17" r:id="rId4" display="Aswath Damodaran at NYU's list of Equity Risk Premiums, by country" xr:uid="{16136AB7-5719-4231-9A16-F8A3D7EC1CFB}"/>
    <hyperlink ref="D38" r:id="rId5" display="U.s. federal statutory rate " xr:uid="{9956610E-3D0A-499C-82DD-9A3F65647563}"/>
    <hyperlink ref="D46" r:id="rId6" display="U.s. federal statutory rate " xr:uid="{2BDE2441-F28B-4B76-AC91-022536E4EF6F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1"/>
  <sheetViews>
    <sheetView showGridLines="0" zoomScale="70" zoomScaleNormal="70" workbookViewId="0">
      <selection activeCell="D30" sqref="D30"/>
    </sheetView>
  </sheetViews>
  <sheetFormatPr defaultColWidth="8.6640625" defaultRowHeight="14.4" x14ac:dyDescent="0.3"/>
  <cols>
    <col min="1" max="1" width="3" customWidth="1"/>
    <col min="2" max="2" width="34" customWidth="1"/>
    <col min="3" max="7" width="14" customWidth="1"/>
    <col min="8" max="8" width="4" customWidth="1"/>
    <col min="9" max="9" width="20" customWidth="1"/>
  </cols>
  <sheetData>
    <row r="2" spans="2:8" ht="17.399999999999999" x14ac:dyDescent="0.3">
      <c r="B2" s="1" t="s">
        <v>16</v>
      </c>
    </row>
    <row r="5" spans="2:8" x14ac:dyDescent="0.3">
      <c r="B5" s="7" t="s">
        <v>6</v>
      </c>
      <c r="C5" s="8" t="s">
        <v>47</v>
      </c>
      <c r="D5" s="8" t="s">
        <v>48</v>
      </c>
      <c r="E5" s="8" t="s">
        <v>49</v>
      </c>
      <c r="F5" s="8" t="s">
        <v>50</v>
      </c>
      <c r="G5" s="8" t="s">
        <v>57</v>
      </c>
    </row>
    <row r="6" spans="2:8" x14ac:dyDescent="0.3">
      <c r="B6" s="101" t="s">
        <v>17</v>
      </c>
      <c r="C6" s="107">
        <f>FCF!D13</f>
        <v>35573.625061856816</v>
      </c>
      <c r="D6" s="107">
        <f>FCF!E13</f>
        <v>68275.788510638318</v>
      </c>
      <c r="E6" s="107">
        <f>FCF!F13</f>
        <v>96384.439682861383</v>
      </c>
      <c r="F6" s="107">
        <f>FCF!G13</f>
        <v>124761.61318886132</v>
      </c>
      <c r="G6" s="107">
        <f>FCF!H13</f>
        <v>150465.68070624684</v>
      </c>
      <c r="H6" s="6" t="s">
        <v>156</v>
      </c>
    </row>
    <row r="7" spans="2:8" x14ac:dyDescent="0.3">
      <c r="B7" s="101" t="s">
        <v>18</v>
      </c>
      <c r="C7" s="102">
        <f>1/(1+C13)^0.5</f>
        <v>0.95570192395999809</v>
      </c>
      <c r="D7" s="102">
        <f>1/(1+C13)^1.5</f>
        <v>0.87290580352229663</v>
      </c>
      <c r="E7" s="102">
        <f>1/(1+C13)^2.5</f>
        <v>0.79728262831748675</v>
      </c>
      <c r="F7" s="102">
        <f>1/(1+C13)^3.5</f>
        <v>0.72821097860944972</v>
      </c>
      <c r="G7" s="102">
        <f>1/(1+C13)^4.5</f>
        <v>0.66512327063542243</v>
      </c>
      <c r="H7" s="6" t="s">
        <v>177</v>
      </c>
    </row>
    <row r="8" spans="2:8" x14ac:dyDescent="0.3">
      <c r="B8" s="65" t="s">
        <v>19</v>
      </c>
      <c r="C8" s="103">
        <f>C6*C7</f>
        <v>33997.781913848165</v>
      </c>
      <c r="D8" s="103">
        <f>D6*D7</f>
        <v>59598.332030997131</v>
      </c>
      <c r="E8" s="103">
        <f>E6*E7</f>
        <v>76845.639399259991</v>
      </c>
      <c r="F8" s="103">
        <f>F6*F7</f>
        <v>90852.776433154329</v>
      </c>
      <c r="G8" s="103">
        <f>G6*G7</f>
        <v>100078.22566972408</v>
      </c>
      <c r="H8" s="6" t="s">
        <v>178</v>
      </c>
    </row>
    <row r="10" spans="2:8" x14ac:dyDescent="0.3">
      <c r="B10" s="3" t="s">
        <v>20</v>
      </c>
      <c r="C10" s="3"/>
    </row>
    <row r="11" spans="2:8" x14ac:dyDescent="0.3">
      <c r="B11" s="63" t="s">
        <v>21</v>
      </c>
      <c r="C11" s="34">
        <f>G6</f>
        <v>150465.68070624684</v>
      </c>
    </row>
    <row r="12" spans="2:8" x14ac:dyDescent="0.3">
      <c r="B12" s="63" t="s">
        <v>22</v>
      </c>
      <c r="C12" s="109">
        <v>0.04</v>
      </c>
      <c r="D12" s="108" t="s">
        <v>163</v>
      </c>
    </row>
    <row r="13" spans="2:8" x14ac:dyDescent="0.3">
      <c r="B13" s="63" t="s">
        <v>164</v>
      </c>
      <c r="C13" s="109">
        <v>9.4851151296746622E-2</v>
      </c>
      <c r="D13" s="6" t="s">
        <v>158</v>
      </c>
    </row>
    <row r="14" spans="2:8" x14ac:dyDescent="0.3">
      <c r="B14" s="64" t="s">
        <v>23</v>
      </c>
      <c r="C14" s="104">
        <f>C11*(1+C12)/(C13-C12)</f>
        <v>2852890.1260050354</v>
      </c>
    </row>
    <row r="15" spans="2:8" x14ac:dyDescent="0.3">
      <c r="B15" s="64" t="s">
        <v>24</v>
      </c>
      <c r="C15" s="104">
        <f>C14*G7</f>
        <v>1897523.6113719714</v>
      </c>
    </row>
    <row r="17" spans="2:7" x14ac:dyDescent="0.3">
      <c r="B17" s="114" t="s">
        <v>25</v>
      </c>
      <c r="C17" s="115">
        <f>SUM(C8:G8)+C15</f>
        <v>2258896.3668189552</v>
      </c>
      <c r="D17" s="6" t="s">
        <v>157</v>
      </c>
    </row>
    <row r="18" spans="2:7" x14ac:dyDescent="0.3">
      <c r="B18" s="63" t="s">
        <v>26</v>
      </c>
      <c r="C18" s="105">
        <f>-(WACC!C8+WACC!D8-20935)</f>
        <v>-82159</v>
      </c>
      <c r="D18" s="6" t="s">
        <v>168</v>
      </c>
    </row>
    <row r="19" spans="2:7" x14ac:dyDescent="0.3">
      <c r="B19" s="64" t="s">
        <v>27</v>
      </c>
      <c r="C19" s="104">
        <f>C17+C18</f>
        <v>2176737.3668189552</v>
      </c>
    </row>
    <row r="20" spans="2:7" x14ac:dyDescent="0.3">
      <c r="B20" s="63" t="s">
        <v>4</v>
      </c>
      <c r="C20" s="106">
        <f>7427000000/1000000</f>
        <v>7427</v>
      </c>
      <c r="D20" s="6" t="s">
        <v>158</v>
      </c>
    </row>
    <row r="21" spans="2:7" x14ac:dyDescent="0.3">
      <c r="B21" s="114" t="s">
        <v>28</v>
      </c>
      <c r="C21" s="116">
        <f>IF(C20=0,0,C19/C20)</f>
        <v>293.08433645064696</v>
      </c>
    </row>
    <row r="24" spans="2:7" ht="17.399999999999999" x14ac:dyDescent="0.3">
      <c r="B24" s="1" t="s">
        <v>166</v>
      </c>
    </row>
    <row r="25" spans="2:7" x14ac:dyDescent="0.3">
      <c r="B25" s="117">
        <f>C21</f>
        <v>293.08433645064696</v>
      </c>
    </row>
    <row r="26" spans="2:7" x14ac:dyDescent="0.3">
      <c r="B26" s="110" t="s">
        <v>29</v>
      </c>
      <c r="C26" s="12">
        <v>3.0000000000000002E-2</v>
      </c>
      <c r="D26" s="12">
        <v>3.5000000000000003E-2</v>
      </c>
      <c r="E26" s="12">
        <v>0.04</v>
      </c>
      <c r="F26" s="12">
        <v>4.4999999999999998E-2</v>
      </c>
      <c r="G26" s="12">
        <v>4.9999999999999996E-2</v>
      </c>
    </row>
    <row r="27" spans="2:7" x14ac:dyDescent="0.3">
      <c r="B27" s="13">
        <v>7.4851151296746632E-2</v>
      </c>
      <c r="C27" s="14">
        <f t="dataTable" ref="C27:G31" dt2D="1" dtr="1" r1="C12" r2="C13"/>
        <v>376.54824623069652</v>
      </c>
      <c r="D27" s="14">
        <v>420.56929909869342</v>
      </c>
      <c r="E27" s="14">
        <v>477.22151370168478</v>
      </c>
      <c r="F27" s="14">
        <v>552.85196269162441</v>
      </c>
      <c r="G27" s="14">
        <v>658.91579003367315</v>
      </c>
    </row>
    <row r="28" spans="2:7" x14ac:dyDescent="0.3">
      <c r="B28" s="13">
        <v>8.4851151296746627E-2</v>
      </c>
      <c r="C28" s="14">
        <v>302.63383332741137</v>
      </c>
      <c r="D28" s="14">
        <v>330.49103925397014</v>
      </c>
      <c r="E28" s="14">
        <v>364.55927993017201</v>
      </c>
      <c r="F28" s="14">
        <v>407.17639298963735</v>
      </c>
      <c r="G28" s="14">
        <v>462.02182892331552</v>
      </c>
    </row>
    <row r="29" spans="2:7" x14ac:dyDescent="0.3">
      <c r="B29" s="13">
        <v>9.4851151296746622E-2</v>
      </c>
      <c r="C29" s="14">
        <v>251.61015586460744</v>
      </c>
      <c r="D29" s="14">
        <v>270.61485756996211</v>
      </c>
      <c r="E29" s="14">
        <v>293.08433645064696</v>
      </c>
      <c r="F29" s="14">
        <v>320.06112926414994</v>
      </c>
      <c r="G29" s="14">
        <v>353.05266016877056</v>
      </c>
    </row>
    <row r="30" spans="2:7" x14ac:dyDescent="0.3">
      <c r="B30" s="13">
        <v>0.10485115129674662</v>
      </c>
      <c r="C30" s="14">
        <v>214.29915188734881</v>
      </c>
      <c r="D30" s="14">
        <v>227.96569819810418</v>
      </c>
      <c r="E30" s="14">
        <v>243.73961593365041</v>
      </c>
      <c r="F30" s="14">
        <v>262.14905819859763</v>
      </c>
      <c r="G30" s="14">
        <v>283.91475495041084</v>
      </c>
    </row>
    <row r="31" spans="2:7" x14ac:dyDescent="0.3">
      <c r="B31" s="13">
        <v>0.11485115129674661</v>
      </c>
      <c r="C31" s="14">
        <v>185.84958891950947</v>
      </c>
      <c r="D31" s="14">
        <v>196.06829739795998</v>
      </c>
      <c r="E31" s="14">
        <v>207.65220979130271</v>
      </c>
      <c r="F31" s="14">
        <v>220.89449318903021</v>
      </c>
      <c r="G31" s="14">
        <v>236.17872698130569</v>
      </c>
    </row>
  </sheetData>
  <phoneticPr fontId="10" type="noConversion"/>
  <hyperlinks>
    <hyperlink ref="D12" r:id="rId1" xr:uid="{94BE1B88-EC75-47C8-9AA5-B588769AA267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B4FEC5E4-5074-4088-A768-7A71D6E52491}">
            <x14:colorScale>
              <x14:cfvo type="min"/>
              <x14:cfvo type="num">
                <xm:f>WACC!$E$7</xm:f>
              </x14:cfvo>
              <x14:cfvo type="max"/>
              <x14:color rgb="FFF8696B"/>
              <x14:color rgb="FF63BE7B"/>
              <x14:color rgb="FFF8696B"/>
            </x14:colorScale>
          </x14:cfRule>
          <xm:sqref>C27:G31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Information</vt:lpstr>
      <vt:lpstr>Projections</vt:lpstr>
      <vt:lpstr>FCF</vt:lpstr>
      <vt:lpstr>WACC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Lee Yi Rui /ACC</cp:lastModifiedBy>
  <cp:revision>0</cp:revision>
  <dcterms:created xsi:type="dcterms:W3CDTF">2026-07-31T16:32:07Z</dcterms:created>
  <dcterms:modified xsi:type="dcterms:W3CDTF">2026-08-03T15:08:13Z</dcterms:modified>
  <dc:language>en-US</dc:language>
</cp:coreProperties>
</file>